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e40fa6a45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72dde0897c84f68"/>
    <x:sheet xmlns:r="http://schemas.openxmlformats.org/officeDocument/2006/relationships" name="Vendor Inventory" sheetId="2" r:id="Rfbadd78184da4109"/>
    <x:sheet xmlns:r="http://schemas.openxmlformats.org/officeDocument/2006/relationships" name="Questionnaire" sheetId="3" r:id="Ra9fe18ee12bb408f"/>
    <x:sheet xmlns:r="http://schemas.openxmlformats.org/officeDocument/2006/relationships" name="Evidence Review" sheetId="4" r:id="R2199d42bc1814e05"/>
    <x:sheet xmlns:r="http://schemas.openxmlformats.org/officeDocument/2006/relationships" name="Risk Assessment" sheetId="5" r:id="Rd6b7560720d3444c"/>
    <x:sheet xmlns:r="http://schemas.openxmlformats.org/officeDocument/2006/relationships" name="Findings" sheetId="6" r:id="R788f72fd5bbb4d15"/>
    <x:sheet xmlns:r="http://schemas.openxmlformats.org/officeDocument/2006/relationships" name="Remediation" sheetId="7" r:id="Rd3dba9844e0d44dd"/>
    <x:sheet xmlns:r="http://schemas.openxmlformats.org/officeDocument/2006/relationships" name="Executive Summary" sheetId="8" r:id="Rfb9f255c5da4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a913503b34645" /><Relationship Type="http://schemas.openxmlformats.org/officeDocument/2006/relationships/theme" Target="/xl/theme/theme1.xml" Id="R821fbdf81f2e4858" /><Relationship Type="http://schemas.openxmlformats.org/officeDocument/2006/relationships/sharedStrings" Target="/xl/sharedStrings.xml" Id="R1b5ab007f2e249c0" /><Relationship Type="http://schemas.openxmlformats.org/officeDocument/2006/relationships/worksheet" Target="/xl/worksheets/sheet1.xml" Id="R472dde0897c84f68" /><Relationship Type="http://schemas.openxmlformats.org/officeDocument/2006/relationships/worksheet" Target="/xl/worksheets/sheet2.xml" Id="Rfbadd78184da4109" /><Relationship Type="http://schemas.openxmlformats.org/officeDocument/2006/relationships/worksheet" Target="/xl/worksheets/sheet3.xml" Id="Ra9fe18ee12bb408f" /><Relationship Type="http://schemas.openxmlformats.org/officeDocument/2006/relationships/worksheet" Target="/xl/worksheets/sheet4.xml" Id="R2199d42bc1814e05" /><Relationship Type="http://schemas.openxmlformats.org/officeDocument/2006/relationships/worksheet" Target="/xl/worksheets/sheet5.xml" Id="Rd6b7560720d3444c" /><Relationship Type="http://schemas.openxmlformats.org/officeDocument/2006/relationships/worksheet" Target="/xl/worksheets/sheet6.xml" Id="R788f72fd5bbb4d15" /><Relationship Type="http://schemas.openxmlformats.org/officeDocument/2006/relationships/worksheet" Target="/xl/worksheets/sheet7.xml" Id="Rd3dba9844e0d44dd" /><Relationship Type="http://schemas.openxmlformats.org/officeDocument/2006/relationships/worksheet" Target="/xl/worksheets/sheet8.xml" Id="Rfb9f255c5da449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8d8cc3313e4f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Vendors by Inherent Risk Tier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8d8cc3313e4f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endorInventoryTable" displayName="VendorInventoryTable" ref="A1:K5" headerRowCount="1" totalsRowCount="0" totalsRowShown="0">
  <x:tableColumns count="11">
    <x:tableColumn id="1" name="Vendor ID"/>
    <x:tableColumn id="2" name="Vendor Name"/>
    <x:tableColumn id="3" name="Service"/>
    <x:tableColumn id="4" name="Data Sensitivity"/>
    <x:tableColumn id="5" name="Access / Integration"/>
    <x:tableColumn id="6" name="Business Criticality"/>
    <x:tableColumn id="7" name="Regulatory Exposure"/>
    <x:tableColumn id="8" name="Concentration / Dependency"/>
    <x:tableColumn id="9" name="Inherent Score"/>
    <x:tableColumn id="10" name="Risk Tier"/>
    <x:tableColumn id="11" name="Assessment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naireTable" displayName="QuestionnaireTable" ref="A1:F26" headerRowCount="1" totalsRowCount="0" totalsRowShown="0">
  <x:tableColumns count="6">
    <x:tableColumn id="1" name="Question ID"/>
    <x:tableColumn id="2" name="Domain"/>
    <x:tableColumn id="3" name="Question"/>
    <x:tableColumn id="4" name="Response"/>
    <x:tableColumn id="5" name="Evidence Status"/>
    <x:tableColumn id="6" name="Reviewer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ReviewTable" displayName="EvidenceReviewTable" ref="A1:G13" headerRowCount="1" totalsRowCount="0" totalsRowShown="0">
  <x:tableColumns count="7">
    <x:tableColumn id="1" name="Evidence ID"/>
    <x:tableColumn id="2" name="Vendor ID"/>
    <x:tableColumn id="3" name="Evidence"/>
    <x:tableColumn id="4" name="Domain"/>
    <x:tableColumn id="5" name="Coverage"/>
    <x:tableColumn id="6" name="Reviewer Assessment"/>
    <x:tableColumn id="7" name="Gap / Follow-u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kAssessmentTable" displayName="RiskAssessmentTable" ref="A1:K5" headerRowCount="1" totalsRowCount="0" totalsRowShown="0">
  <x:tableColumns count="11">
    <x:tableColumn id="1" name="Assessment ID"/>
    <x:tableColumn id="2" name="Vendor ID"/>
    <x:tableColumn id="3" name="Vendor"/>
    <x:tableColumn id="4" name="Inherent Score"/>
    <x:tableColumn id="5" name="Inherent Tier"/>
    <x:tableColumn id="6" name="Control Strength"/>
    <x:tableColumn id="7" name="Open Findings"/>
    <x:tableColumn id="8" name="Residual Score"/>
    <x:tableColumn id="9" name="Residual Tier"/>
    <x:tableColumn id="10" name="Key Risk Driver"/>
    <x:tableColumn id="11" name="Approval Pat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ndingsTable" displayName="FindingsTable" ref="A1:H5" headerRowCount="1" totalsRowCount="0" totalsRowShown="0">
  <x:tableColumns count="8">
    <x:tableColumn id="1" name="Finding ID"/>
    <x:tableColumn id="2" name="Vendor ID"/>
    <x:tableColumn id="3" name="Domain"/>
    <x:tableColumn id="4" name="Finding"/>
    <x:tableColumn id="5" name="Risk"/>
    <x:tableColumn id="6" name="Recommendation"/>
    <x:tableColumn id="7" name="Owner"/>
    <x:tableColumn id="8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mediationTable" displayName="RemediationTable" ref="A1:J5" headerRowCount="1" totalsRowCount="0" totalsRowShown="0">
  <x:tableColumns count="10">
    <x:tableColumn id="1" name="Action ID"/>
    <x:tableColumn id="2" name="Finding ID"/>
    <x:tableColumn id="3" name="Vendor ID"/>
    <x:tableColumn id="4" name="Remediation Action"/>
    <x:tableColumn id="5" name="Priority"/>
    <x:tableColumn id="6" name="Owner"/>
    <x:tableColumn id="7" name="Target Date"/>
    <x:tableColumn id="8" name="Success Measure"/>
    <x:tableColumn id="9" name="Status"/>
    <x:tableColumn id="10" name="Validation 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aa82fe38b64e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727a3a741549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d4105fa0194d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73e71a07fa4e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c4742339ab4e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0f10335c6c42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58d8f8ed0144b8" /></Relationships>
</file>

<file path=xl/worksheets/sheet1.xml><?xml version="1.0" encoding="utf-8"?>
<x:worksheet xmlns:x="http://schemas.openxmlformats.org/spreadsheetml/2006/main">
  <x:sheetFormatPr defaultRowHeight="15"/>
  <x:cols>
    <x:col min="1" max="1" width="60.380001068115234" hidden="0" customWidth="1"/>
    <x:col min="2" max="2" width="10.75" hidden="0" customWidth="1"/>
    <x:col min="3" max="3" width="41.130001068115234" hidden="0" customWidth="1"/>
    <x:col min="4" max="4" width="7" hidden="0" customWidth="1"/>
    <x:col min="5" max="5" width="11" hidden="0" customWidth="1"/>
  </x:cols>
  <x:sheetData>
    <x:row r="1">
      <x:c r="A1" s="5" t="str">
        <x:v>Third-Party Risk Management Dashboard — Northstar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KPI</x:v>
      </x:c>
      <x:c r="B3" s="14" t="str">
        <x:v>Value</x:v>
      </x:c>
      <x:c r="D3" s="14" t="str">
        <x:v>Risk Tier</x:v>
      </x:c>
      <x:c r="E3" s="14" t="str">
        <x:v>Vendor Count</x:v>
      </x:c>
    </x:row>
    <x:row r="4">
      <x:c r="A4" s="21" t="str">
        <x:v>Vendors Assessed</x:v>
      </x:c>
      <x:c r="B4" s="21" t="n">
        <x:v>4</x:v>
      </x:c>
      <x:c r="D4" s="21" t="str">
        <x:v>Critical</x:v>
      </x:c>
      <x:c r="E4" s="21" t="n">
        <x:v>1</x:v>
      </x:c>
    </x:row>
    <x:row r="5">
      <x:c r="A5" s="21" t="str">
        <x:v>Critical / High Vendors</x:v>
      </x:c>
      <x:c r="B5" s="21" t="n">
        <x:v>2</x:v>
      </x:c>
      <x:c r="D5" s="21" t="str">
        <x:v>High</x:v>
      </x:c>
      <x:c r="E5" s="21" t="n">
        <x:v>1</x:v>
      </x:c>
    </x:row>
    <x:row r="6">
      <x:c r="A6" s="21" t="str">
        <x:v>Open Findings</x:v>
      </x:c>
      <x:c r="B6" s="21" t="n">
        <x:v>4</x:v>
      </x:c>
      <x:c r="D6" s="21" t="str">
        <x:v>Medium</x:v>
      </x:c>
      <x:c r="E6" s="21" t="n">
        <x:v>1</x:v>
      </x:c>
    </x:row>
    <x:row r="7">
      <x:c r="A7" s="21" t="str">
        <x:v>High-Risk Findings</x:v>
      </x:c>
      <x:c r="B7" s="21" t="n">
        <x:v>2</x:v>
      </x:c>
      <x:c r="D7" s="21" t="str">
        <x:v>Low</x:v>
      </x:c>
      <x:c r="E7" s="21" t="n">
        <x:v>1</x:v>
      </x:c>
    </x:row>
    <x:row r="8">
      <x:c r="A8" s="21" t="str">
        <x:v>Conditional Decisions</x:v>
      </x:c>
      <x:c r="B8" s="21" t="n">
        <x:v>1</x:v>
      </x:c>
      <x:c r="D8" s="21" t="str">
        <x:v>Total</x:v>
      </x:c>
      <x:c r="E8" s="21" t="n">
        <x:v>4</x:v>
      </x:c>
    </x:row>
    <x:row r="10">
      <x:c r="A10" s="28" t="str">
        <x:v>Portfolio Decision Flow</x:v>
      </x:c>
      <x:c r="B10" s="28"/>
      <x:c r="C10" s="28"/>
      <x:c r="D10" s="28"/>
      <x:c r="E10" s="28"/>
      <x:c r="F10" s="28"/>
      <x:c r="G10" s="28"/>
      <x:c r="H10" s="28"/>
    </x:row>
    <x:row r="11">
      <x:c r="A11" s="21" t="str">
        <x:v>1</x:v>
      </x:c>
      <x:c r="B11" s="21" t="str">
        <x:v>Intake</x:v>
      </x:c>
      <x:c r="C11" s="21" t="str">
        <x:v>Identify service, data, access and dependency</x:v>
      </x:c>
      <x:c r="D11" s="21"/>
      <x:c r="E11" s="21"/>
      <x:c r="F11" s="21"/>
      <x:c r="G11" s="21"/>
      <x:c r="H11" s="21"/>
    </x:row>
    <x:row r="12">
      <x:c r="A12" s="21" t="str">
        <x:v>2</x:v>
      </x:c>
      <x:c r="B12" s="21" t="str">
        <x:v>Risk Tiering</x:v>
      </x:c>
      <x:c r="C12" s="21" t="str">
        <x:v>Score inherent risk and determine due-diligence depth</x:v>
      </x:c>
      <x:c r="D12" s="21"/>
      <x:c r="E12" s="21"/>
      <x:c r="F12" s="21"/>
      <x:c r="G12" s="21"/>
      <x:c r="H12" s="21"/>
    </x:row>
    <x:row r="13">
      <x:c r="A13" s="21" t="str">
        <x:v>3</x:v>
      </x:c>
      <x:c r="B13" s="21" t="str">
        <x:v>Due Diligence</x:v>
      </x:c>
      <x:c r="C13" s="21" t="str">
        <x:v>Questionnaire + evidence review + findings</x:v>
      </x:c>
      <x:c r="D13" s="21"/>
      <x:c r="E13" s="21"/>
      <x:c r="F13" s="21"/>
      <x:c r="G13" s="21"/>
      <x:c r="H13" s="21"/>
    </x:row>
    <x:row r="14">
      <x:c r="A14" s="21" t="str">
        <x:v>4</x:v>
      </x:c>
      <x:c r="B14" s="21" t="str">
        <x:v>Residual Risk</x:v>
      </x:c>
      <x:c r="C14" s="21" t="str">
        <x:v>Treatment, approval / exception and reassessment</x:v>
      </x:c>
      <x:c r="D14" s="21"/>
      <x:c r="E14" s="21"/>
      <x:c r="F14" s="21"/>
      <x:c r="G14" s="21"/>
      <x:c r="H14" s="21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4aa82fe38b64ec2"/>
</x:worksheet>
</file>

<file path=xl/worksheets/sheet2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28.3799991607666" hidden="0" customWidth="1"/>
    <x:col min="3" max="3" width="24.75" hidden="0" customWidth="1"/>
    <x:col min="4" max="4" width="14.880000114440918" hidden="0" customWidth="1"/>
    <x:col min="5" max="5" width="18.1299991607666" hidden="0" customWidth="1"/>
    <x:col min="6" max="6" width="17.25" hidden="0" customWidth="1"/>
    <x:col min="7" max="7" width="18.75" hidden="0" customWidth="1"/>
    <x:col min="8" max="8" width="24.8799991607666" hidden="0" customWidth="1"/>
    <x:col min="9" max="9" width="14.130000114440918" hidden="0" customWidth="1"/>
    <x:col min="10" max="10" width="9.5" hidden="0" customWidth="1"/>
    <x:col min="11" max="11" width="26.5" hidden="0" customWidth="1"/>
  </x:cols>
  <x:sheetData>
    <x:row r="1">
      <x:c r="A1" s="14" t="str">
        <x:v>Vendor ID</x:v>
      </x:c>
      <x:c r="B1" s="14" t="str">
        <x:v>Vendor Name</x:v>
      </x:c>
      <x:c r="C1" s="14" t="str">
        <x:v>Service</x:v>
      </x:c>
      <x:c r="D1" s="14" t="str">
        <x:v>Data Sensitivity</x:v>
      </x:c>
      <x:c r="E1" s="14" t="str">
        <x:v>Access / Integration</x:v>
      </x:c>
      <x:c r="F1" s="14" t="str">
        <x:v>Business Criticality</x:v>
      </x:c>
      <x:c r="G1" s="14" t="str">
        <x:v>Regulatory Exposure</x:v>
      </x:c>
      <x:c r="H1" s="14" t="str">
        <x:v>Concentration / Dependency</x:v>
      </x:c>
      <x:c r="I1" s="14" t="str">
        <x:v>Inherent Score</x:v>
      </x:c>
      <x:c r="J1" s="14" t="str">
        <x:v>Risk Tier</x:v>
      </x:c>
      <x:c r="K1" s="14" t="str">
        <x:v>Assessment Status</x:v>
      </x:c>
    </x:row>
    <x:row r="2">
      <x:c r="A2" s="21" t="str">
        <x:v>V-001</x:v>
      </x:c>
      <x:c r="B2" s="21" t="str">
        <x:v>BluePeak Cloud Monitoring Pvt. Ltd.</x:v>
      </x:c>
      <x:c r="C2" s="21" t="str">
        <x:v>Cloud monitoring and alerting</x:v>
      </x:c>
      <x:c r="D2" s="21" t="n">
        <x:v>5</x:v>
      </x:c>
      <x:c r="E2" s="21" t="n">
        <x:v>5</x:v>
      </x:c>
      <x:c r="F2" s="21" t="n">
        <x:v>5</x:v>
      </x:c>
      <x:c r="G2" s="21" t="n">
        <x:v>4</x:v>
      </x:c>
      <x:c r="H2" s="21" t="n">
        <x:v>4</x:v>
      </x:c>
      <x:c r="I2" s="34" t="n">
        <x:f>SUM(D2:H2)</x:f>
        <x:v>23</x:v>
      </x:c>
      <x:c r="J2" s="21" t="str">
        <x:f>IF(I2&gt;=22,"Critical",IF(I2&gt;=17,"High",IF(I2&gt;=10,"Medium","Low")))</x:f>
        <x:v>Critical</x:v>
      </x:c>
      <x:c r="K2" s="21" t="str">
        <x:v>Enhanced due diligence completed</x:v>
      </x:c>
    </x:row>
    <x:row r="3">
      <x:c r="A3" s="21" t="str">
        <x:v>V-002</x:v>
      </x:c>
      <x:c r="B3" s="21" t="str">
        <x:v>NorthBridge HR Services Pvt. Ltd.</x:v>
      </x:c>
      <x:c r="C3" s="21" t="str">
        <x:v>HR benefits administration</x:v>
      </x:c>
      <x:c r="D3" s="21" t="n">
        <x:v>5</x:v>
      </x:c>
      <x:c r="E3" s="21" t="n">
        <x:v>3</x:v>
      </x:c>
      <x:c r="F3" s="21" t="n">
        <x:v>4</x:v>
      </x:c>
      <x:c r="G3" s="21" t="n">
        <x:v>5</x:v>
      </x:c>
      <x:c r="H3" s="21" t="n">
        <x:v>3</x:v>
      </x:c>
      <x:c r="I3" s="34" t="n">
        <x:f>SUM(D3:H3)</x:f>
        <x:v>20</x:v>
      </x:c>
      <x:c r="J3" s="21" t="str">
        <x:f>IF(I3&gt;=22,"Critical",IF(I3&gt;=17,"High",IF(I3&gt;=10,"Medium","Low")))</x:f>
        <x:v>High</x:v>
      </x:c>
      <x:c r="K3" s="21" t="str">
        <x:v>Annual assessment in progress</x:v>
      </x:c>
    </x:row>
    <x:row r="4">
      <x:c r="A4" s="21" t="str">
        <x:v>V-003</x:v>
      </x:c>
      <x:c r="B4" s="21" t="str">
        <x:v>Silverline Collaboration Tools Pvt. Ltd.</x:v>
      </x:c>
      <x:c r="C4" s="21" t="str">
        <x:v>Team collaboration software</x:v>
      </x:c>
      <x:c r="D4" s="21" t="n">
        <x:v>3</x:v>
      </x:c>
      <x:c r="E4" s="21" t="n">
        <x:v>3</x:v>
      </x:c>
      <x:c r="F4" s="21" t="n">
        <x:v>3</x:v>
      </x:c>
      <x:c r="G4" s="21" t="n">
        <x:v>2</x:v>
      </x:c>
      <x:c r="H4" s="21" t="n">
        <x:v>2</x:v>
      </x:c>
      <x:c r="I4" s="34" t="n">
        <x:f>SUM(D4:H4)</x:f>
        <x:v>13</x:v>
      </x:c>
      <x:c r="J4" s="21" t="str">
        <x:f>IF(I4&gt;=22,"Critical",IF(I4&gt;=17,"High",IF(I4&gt;=10,"Medium","Low")))</x:f>
        <x:v>Medium</x:v>
      </x:c>
      <x:c r="K4" s="21" t="str">
        <x:v>Standard assessment completed</x:v>
      </x:c>
    </x:row>
    <x:row r="5">
      <x:c r="A5" s="21" t="str">
        <x:v>V-004</x:v>
      </x:c>
      <x:c r="B5" s="21" t="str">
        <x:v>PaperTrail Office Supplies Pvt. Ltd.</x:v>
      </x:c>
      <x:c r="C5" s="21" t="str">
        <x:v>Office supplies and consumables</x:v>
      </x:c>
      <x:c r="D5" s="21" t="n">
        <x:v>1</x:v>
      </x:c>
      <x:c r="E5" s="21" t="n">
        <x:v>1</x:v>
      </x:c>
      <x:c r="F5" s="21" t="n">
        <x:v>1</x:v>
      </x:c>
      <x:c r="G5" s="21" t="n">
        <x:v>1</x:v>
      </x:c>
      <x:c r="H5" s="21" t="n">
        <x:v>1</x:v>
      </x:c>
      <x:c r="I5" s="34" t="n">
        <x:f>SUM(D5:H5)</x:f>
        <x:v>5</x:v>
      </x:c>
      <x:c r="J5" s="21" t="str">
        <x:f>IF(I5&gt;=22,"Critical",IF(I5&gt;=17,"High",IF(I5&gt;=10,"Medium","Low")))</x:f>
        <x:v>Low</x:v>
      </x:c>
      <x:c r="K5" s="21" t="str">
        <x:v>Light-touch review</x:v>
      </x:c>
    </x:row>
  </x:sheetData>
  <x:conditionalFormatting sqref="J2:J5">
    <x:cfRule type="expression" dxfId="0" priority="1">
      <x:formula>J2="Critical"</x:formula>
    </x:cfRule>
    <x:cfRule type="expression" dxfId="1" priority="2">
      <x:formula>J2="High"</x:formula>
    </x:cfRule>
  </x:conditionalFormatting>
  <x:dataValidations count="1">
    <x:dataValidation type="list" sqref="D2:H5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727a3a741549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.25" hidden="0" customWidth="1"/>
    <x:col min="3" max="3" width="72.12999725341797" hidden="0" customWidth="1"/>
    <x:col min="4" max="4" width="10.380000114440918" hidden="0" customWidth="1"/>
    <x:col min="5" max="5" width="14.880000114440918" hidden="0" customWidth="1"/>
    <x:col min="6" max="6" width="46.5" hidden="0" customWidth="1"/>
  </x:cols>
  <x:sheetData>
    <x:row r="1">
      <x:c r="A1" s="14" t="str">
        <x:v>Question ID</x:v>
      </x:c>
      <x:c r="B1" s="14" t="str">
        <x:v>Domain</x:v>
      </x:c>
      <x:c r="C1" s="14" t="str">
        <x:v>Question</x:v>
      </x:c>
      <x:c r="D1" s="14" t="str">
        <x:v>Response</x:v>
      </x:c>
      <x:c r="E1" s="14" t="str">
        <x:v>Evidence Status</x:v>
      </x:c>
      <x:c r="F1" s="14" t="str">
        <x:v>Reviewer Note</x:v>
      </x:c>
      <x:c r="G1" s="20"/>
      <x:c r="H1" s="20"/>
      <x:c r="I1" s="20"/>
      <x:c r="J1" s="20"/>
      <x:c r="K1" s="20"/>
      <x:c r="L1" s="20"/>
      <x:c r="M1" s="20"/>
      <x:c r="N1" s="20"/>
    </x:row>
    <x:row r="2">
      <x:c r="A2" s="21" t="str">
        <x:v>SEC-01</x:v>
      </x:c>
      <x:c r="B2" s="21" t="str">
        <x:v>Governance</x:v>
      </x:c>
      <x:c r="C2" s="21" t="str">
        <x:v>Is there an information security policy approved by management and reviewed periodically?</x:v>
      </x:c>
      <x:c r="D2" s="21" t="str">
        <x:v>Yes</x:v>
      </x:c>
      <x:c r="E2" s="21" t="str">
        <x:v>Received</x:v>
      </x:c>
      <x:c r="F2" s="21" t="str">
        <x:v>Policy provided</x:v>
      </x:c>
      <x:c r="G2" s="20"/>
      <x:c r="H2" s="20"/>
      <x:c r="I2" s="20"/>
      <x:c r="J2" s="20"/>
      <x:c r="K2" s="20"/>
      <x:c r="L2" s="20"/>
      <x:c r="M2" s="20"/>
      <x:c r="N2" s="20"/>
    </x:row>
    <x:row r="3">
      <x:c r="A3" s="21" t="str">
        <x:v>SEC-02</x:v>
      </x:c>
      <x:c r="B3" s="21" t="str">
        <x:v>Access Control</x:v>
      </x:c>
      <x:c r="C3" s="21" t="str">
        <x:v>Are MFA controls enforced for administrative access?</x:v>
      </x:c>
      <x:c r="D3" s="21" t="str">
        <x:v>Yes</x:v>
      </x:c>
      <x:c r="E3" s="21" t="str">
        <x:v>Partial</x:v>
      </x:c>
      <x:c r="F3" s="21" t="str">
        <x:v>Policy statement provided; configuration evidence incomplete</x:v>
      </x:c>
      <x:c r="G3" s="20"/>
      <x:c r="H3" s="20"/>
      <x:c r="I3" s="20"/>
      <x:c r="J3" s="20"/>
      <x:c r="K3" s="20"/>
      <x:c r="L3" s="20"/>
      <x:c r="M3" s="20"/>
      <x:c r="N3" s="20"/>
    </x:row>
    <x:row r="4">
      <x:c r="A4" s="21" t="str">
        <x:v>SEC-03</x:v>
      </x:c>
      <x:c r="B4" s="21" t="str">
        <x:v>Access Control</x:v>
      </x:c>
      <x:c r="C4" s="21" t="str">
        <x:v>Are privileged accounts uniquely assigned to named individuals?</x:v>
      </x:c>
      <x:c r="D4" s="21" t="str">
        <x:v>Yes</x:v>
      </x:c>
      <x:c r="E4" s="21" t="str">
        <x:v>Received</x:v>
      </x:c>
      <x:c r="F4" s="21" t="str">
        <x:v>Control described</x:v>
      </x:c>
      <x:c r="G4" s="20"/>
      <x:c r="H4" s="20"/>
      <x:c r="I4" s="20"/>
      <x:c r="J4" s="20"/>
      <x:c r="K4" s="20"/>
      <x:c r="L4" s="20"/>
      <x:c r="M4" s="20"/>
      <x:c r="N4" s="20"/>
    </x:row>
    <x:row r="5">
      <x:c r="A5" s="21" t="str">
        <x:v>SEC-04</x:v>
      </x:c>
      <x:c r="B5" s="21" t="str">
        <x:v>Access Control</x:v>
      </x:c>
      <x:c r="C5" s="21" t="str">
        <x:v>Are access rights reviewed periodically?</x:v>
      </x:c>
      <x:c r="D5" s="21" t="str">
        <x:v>Yes</x:v>
      </x:c>
      <x:c r="E5" s="21" t="str">
        <x:v>Received</x:v>
      </x:c>
      <x:c r="F5" s="21" t="str">
        <x:v>Quarterly review described</x:v>
      </x:c>
      <x:c r="G5" s="20"/>
      <x:c r="H5" s="20"/>
      <x:c r="I5" s="20"/>
      <x:c r="J5" s="20"/>
      <x:c r="K5" s="20"/>
      <x:c r="L5" s="20"/>
      <x:c r="M5" s="20"/>
      <x:c r="N5" s="20"/>
    </x:row>
    <x:row r="6">
      <x:c r="A6" s="21" t="str">
        <x:v>SEC-05</x:v>
      </x:c>
      <x:c r="B6" s="21" t="str">
        <x:v>Access Control</x:v>
      </x:c>
      <x:c r="C6" s="21" t="str">
        <x:v>Is joiner/mover/leaver access managed through documented workflow?</x:v>
      </x:c>
      <x:c r="D6" s="21" t="str">
        <x:v>Yes</x:v>
      </x:c>
      <x:c r="E6" s="21" t="str">
        <x:v>Received</x:v>
      </x:c>
      <x:c r="F6" s="21" t="str">
        <x:v>Procedure described</x:v>
      </x:c>
      <x:c r="G6" s="20"/>
      <x:c r="H6" s="20"/>
      <x:c r="I6" s="20"/>
      <x:c r="J6" s="20"/>
      <x:c r="K6" s="20"/>
      <x:c r="L6" s="20"/>
      <x:c r="M6" s="20"/>
      <x:c r="N6" s="20"/>
    </x:row>
    <x:row r="7">
      <x:c r="A7" s="21" t="str">
        <x:v>SEC-06</x:v>
      </x:c>
      <x:c r="B7" s="21" t="str">
        <x:v>Encryption</x:v>
      </x:c>
      <x:c r="C7" s="21" t="str">
        <x:v>Is customer data encrypted in transit?</x:v>
      </x:c>
      <x:c r="D7" s="21" t="str">
        <x:v>Yes</x:v>
      </x:c>
      <x:c r="E7" s="21" t="str">
        <x:v>Received</x:v>
      </x:c>
      <x:c r="F7" s="21" t="str">
        <x:v>TLS control described</x:v>
      </x:c>
      <x:c r="G7" s="20"/>
      <x:c r="H7" s="20"/>
      <x:c r="I7" s="20"/>
      <x:c r="J7" s="20"/>
      <x:c r="K7" s="20"/>
      <x:c r="L7" s="20"/>
      <x:c r="M7" s="20"/>
      <x:c r="N7" s="20"/>
    </x:row>
    <x:row r="8">
      <x:c r="A8" s="21" t="str">
        <x:v>SEC-07</x:v>
      </x:c>
      <x:c r="B8" s="21" t="str">
        <x:v>Encryption</x:v>
      </x:c>
      <x:c r="C8" s="21" t="str">
        <x:v>Is customer data encrypted at rest?</x:v>
      </x:c>
      <x:c r="D8" s="21" t="str">
        <x:v>Yes</x:v>
      </x:c>
      <x:c r="E8" s="21" t="str">
        <x:v>Received</x:v>
      </x:c>
      <x:c r="F8" s="21" t="str">
        <x:v>Encryption control described</x:v>
      </x:c>
      <x:c r="G8" s="20"/>
      <x:c r="H8" s="20"/>
      <x:c r="I8" s="20"/>
      <x:c r="J8" s="20"/>
      <x:c r="K8" s="20"/>
      <x:c r="L8" s="20"/>
      <x:c r="M8" s="20"/>
      <x:c r="N8" s="20"/>
    </x:row>
    <x:row r="9">
      <x:c r="A9" s="21" t="str">
        <x:v>SEC-08</x:v>
      </x:c>
      <x:c r="B9" s="21" t="str">
        <x:v>Key Management</x:v>
      </x:c>
      <x:c r="C9" s="21" t="str">
        <x:v>Are cryptographic keys managed under documented access and rotation controls?</x:v>
      </x:c>
      <x:c r="D9" s="21" t="str">
        <x:v>Yes</x:v>
      </x:c>
      <x:c r="E9" s="21" t="str">
        <x:v>Partial</x:v>
      </x:c>
      <x:c r="F9" s="21" t="str">
        <x:v>Rotation described; detailed evidence not supplied</x:v>
      </x:c>
      <x:c r="G9" s="20"/>
      <x:c r="H9" s="20"/>
      <x:c r="I9" s="20"/>
      <x:c r="J9" s="20"/>
      <x:c r="K9" s="20"/>
      <x:c r="L9" s="20"/>
      <x:c r="M9" s="20"/>
      <x:c r="N9" s="20"/>
    </x:row>
    <x:row r="10">
      <x:c r="A10" s="21" t="str">
        <x:v>SEC-09</x:v>
      </x:c>
      <x:c r="B10" s="21" t="str">
        <x:v>Vulnerability Mgmt</x:v>
      </x:c>
      <x:c r="C10" s="21" t="str">
        <x:v>Are vulnerability scans performed regularly?</x:v>
      </x:c>
      <x:c r="D10" s="21" t="str">
        <x:v>Yes</x:v>
      </x:c>
      <x:c r="E10" s="21" t="str">
        <x:v>Received</x:v>
      </x:c>
      <x:c r="F10" s="21" t="str">
        <x:v>Process evidence provided</x:v>
      </x:c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21" t="str">
        <x:v>SEC-10</x:v>
      </x:c>
      <x:c r="B11" s="21" t="str">
        <x:v>Vulnerability Mgmt</x:v>
      </x:c>
      <x:c r="C11" s="21" t="str">
        <x:v>Are critical vulnerabilities remediated within defined targets?</x:v>
      </x:c>
      <x:c r="D11" s="21" t="str">
        <x:v>Yes</x:v>
      </x:c>
      <x:c r="E11" s="21" t="str">
        <x:v>Received</x:v>
      </x:c>
      <x:c r="F11" s="21" t="str">
        <x:v>SLA stated</x:v>
      </x:c>
      <x:c r="G11" s="20"/>
      <x:c r="H11" s="20"/>
      <x:c r="I11" s="20"/>
      <x:c r="J11" s="20"/>
      <x:c r="K11" s="20"/>
      <x:c r="L11" s="20"/>
      <x:c r="M11" s="20"/>
      <x:c r="N11" s="20"/>
    </x:row>
    <x:row r="12">
      <x:c r="A12" s="21" t="str">
        <x:v>SEC-11</x:v>
      </x:c>
      <x:c r="B12" s="21" t="str">
        <x:v>Penetration Testing</x:v>
      </x:c>
      <x:c r="C12" s="21" t="str">
        <x:v>Is penetration testing performed periodically?</x:v>
      </x:c>
      <x:c r="D12" s="21" t="str">
        <x:v>Yes</x:v>
      </x:c>
      <x:c r="E12" s="21" t="str">
        <x:v>Partial</x:v>
      </x:c>
      <x:c r="F12" s="21" t="str">
        <x:v>Summary referenced but not provided</x:v>
      </x:c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1" t="str">
        <x:v>SEC-12</x:v>
      </x:c>
      <x:c r="B13" s="21" t="str">
        <x:v>Secure SDLC</x:v>
      </x:c>
      <x:c r="C13" s="21" t="str">
        <x:v>Are security requirements incorporated into software development?</x:v>
      </x:c>
      <x:c r="D13" s="21" t="str">
        <x:v>Yes</x:v>
      </x:c>
      <x:c r="E13" s="21" t="str">
        <x:v>Received</x:v>
      </x:c>
      <x:c r="F13" s="21" t="str">
        <x:v>Process described</x:v>
      </x:c>
      <x:c r="G13" s="20"/>
      <x:c r="H13" s="20"/>
      <x:c r="I13" s="20"/>
      <x:c r="J13" s="20"/>
      <x:c r="K13" s="20"/>
      <x:c r="L13" s="20"/>
      <x:c r="M13" s="20"/>
      <x:c r="N13" s="20"/>
    </x:row>
    <x:row r="14">
      <x:c r="A14" s="21" t="str">
        <x:v>SEC-13</x:v>
      </x:c>
      <x:c r="B14" s="21" t="str">
        <x:v>Change Mgmt</x:v>
      </x:c>
      <x:c r="C14" s="21" t="str">
        <x:v>Are production changes subject to approval and testing?</x:v>
      </x:c>
      <x:c r="D14" s="21" t="str">
        <x:v>Yes</x:v>
      </x:c>
      <x:c r="E14" s="21" t="str">
        <x:v>Received</x:v>
      </x:c>
      <x:c r="F14" s="21" t="str">
        <x:v>Change process described</x:v>
      </x:c>
      <x:c r="G14" s="20"/>
      <x:c r="H14" s="20"/>
      <x:c r="I14" s="20"/>
      <x:c r="J14" s="20"/>
      <x:c r="K14" s="20"/>
      <x:c r="L14" s="20"/>
      <x:c r="M14" s="20"/>
      <x:c r="N14" s="20"/>
    </x:row>
    <x:row r="15">
      <x:c r="A15" s="21" t="str">
        <x:v>SEC-14</x:v>
      </x:c>
      <x:c r="B15" s="21" t="str">
        <x:v>Logging</x:v>
      </x:c>
      <x:c r="C15" s="21" t="str">
        <x:v>Are security-relevant events logged and monitored?</x:v>
      </x:c>
      <x:c r="D15" s="21" t="str">
        <x:v>Yes</x:v>
      </x:c>
      <x:c r="E15" s="21" t="str">
        <x:v>Received</x:v>
      </x:c>
      <x:c r="F15" s="21" t="str">
        <x:v>Monitoring control described</x:v>
      </x:c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21" t="str">
        <x:v>SEC-15</x:v>
      </x:c>
      <x:c r="B16" s="21" t="str">
        <x:v>Incident Response</x:v>
      </x:c>
      <x:c r="C16" s="21" t="str">
        <x:v>Is there a documented incident response plan tested periodically?</x:v>
      </x:c>
      <x:c r="D16" s="21" t="str">
        <x:v>Yes</x:v>
      </x:c>
      <x:c r="E16" s="21" t="str">
        <x:v>Received</x:v>
      </x:c>
      <x:c r="F16" s="21" t="str">
        <x:v>Tabletop summary provided</x:v>
      </x:c>
      <x:c r="G16" s="20"/>
      <x:c r="H16" s="20"/>
      <x:c r="I16" s="20"/>
      <x:c r="J16" s="20"/>
      <x:c r="K16" s="20"/>
      <x:c r="L16" s="20"/>
      <x:c r="M16" s="20"/>
      <x:c r="N16" s="20"/>
    </x:row>
    <x:row r="17">
      <x:c r="A17" s="21" t="str">
        <x:v>SEC-16</x:v>
      </x:c>
      <x:c r="B17" s="21" t="str">
        <x:v>Breach Notification</x:v>
      </x:c>
      <x:c r="C17" s="21" t="str">
        <x:v>Is there a documented process for customer notification after applicable security incidents?</x:v>
      </x:c>
      <x:c r="D17" s="21" t="str">
        <x:v>Yes</x:v>
      </x:c>
      <x:c r="E17" s="21" t="str">
        <x:v>Received</x:v>
      </x:c>
      <x:c r="F17" s="21" t="str">
        <x:v>Notification process described</x:v>
      </x:c>
      <x:c r="G17" s="20"/>
      <x:c r="H17" s="20"/>
      <x:c r="I17" s="20"/>
      <x:c r="J17" s="20"/>
      <x:c r="K17" s="20"/>
      <x:c r="L17" s="20"/>
      <x:c r="M17" s="20"/>
      <x:c r="N17" s="20"/>
    </x:row>
    <x:row r="18">
      <x:c r="A18" s="21" t="str">
        <x:v>SEC-17</x:v>
      </x:c>
      <x:c r="B18" s="21" t="str">
        <x:v>BCP/DR</x:v>
      </x:c>
      <x:c r="C18" s="21" t="str">
        <x:v>Are business continuity and disaster recovery plans tested periodically?</x:v>
      </x:c>
      <x:c r="D18" s="21" t="str">
        <x:v>Yes</x:v>
      </x:c>
      <x:c r="E18" s="21" t="str">
        <x:v>Received</x:v>
      </x:c>
      <x:c r="F18" s="21" t="str">
        <x:v>Annual test described</x:v>
      </x:c>
      <x:c r="G18" s="20"/>
      <x:c r="H18" s="20"/>
      <x:c r="I18" s="20"/>
      <x:c r="J18" s="20"/>
      <x:c r="K18" s="20"/>
      <x:c r="L18" s="20"/>
      <x:c r="M18" s="20"/>
      <x:c r="N18" s="20"/>
    </x:row>
    <x:row r="19">
      <x:c r="A19" s="21" t="str">
        <x:v>SEC-18</x:v>
      </x:c>
      <x:c r="B19" s="21" t="str">
        <x:v>RPO/RTO</x:v>
      </x:c>
      <x:c r="C19" s="21" t="str">
        <x:v>Are recovery objectives defined for the service?</x:v>
      </x:c>
      <x:c r="D19" s="21" t="str">
        <x:v>Yes</x:v>
      </x:c>
      <x:c r="E19" s="21" t="str">
        <x:v>Received</x:v>
      </x:c>
      <x:c r="F19" s="21" t="str">
        <x:v>Targets provided</x:v>
      </x:c>
      <x:c r="G19" s="20"/>
      <x:c r="H19" s="20"/>
      <x:c r="I19" s="20"/>
      <x:c r="J19" s="20"/>
      <x:c r="K19" s="20"/>
      <x:c r="L19" s="20"/>
      <x:c r="M19" s="20"/>
      <x:c r="N19" s="20"/>
    </x:row>
    <x:row r="20">
      <x:c r="A20" s="21" t="str">
        <x:v>SEC-19</x:v>
      </x:c>
      <x:c r="B20" s="21" t="str">
        <x:v>Subprocessors</x:v>
      </x:c>
      <x:c r="C20" s="21" t="str">
        <x:v>Is there a current list of subprocessors and change-notification process?</x:v>
      </x:c>
      <x:c r="D20" s="21" t="str">
        <x:v>Yes</x:v>
      </x:c>
      <x:c r="E20" s="21" t="str">
        <x:v>Partial</x:v>
      </x:c>
      <x:c r="F20" s="21" t="str">
        <x:v>List supplied; notification process not evidenced</x:v>
      </x:c>
      <x:c r="G20" s="20"/>
      <x:c r="H20" s="20"/>
      <x:c r="I20" s="20"/>
      <x:c r="J20" s="20"/>
      <x:c r="K20" s="20"/>
      <x:c r="L20" s="20"/>
      <x:c r="M20" s="20"/>
      <x:c r="N20" s="20"/>
    </x:row>
    <x:row r="21">
      <x:c r="A21" s="21" t="str">
        <x:v>SEC-20</x:v>
      </x:c>
      <x:c r="B21" s="21" t="str">
        <x:v>Privacy</x:v>
      </x:c>
      <x:c r="C21" s="21" t="str">
        <x:v>Is personal data processing documented and governed by contract/privacy terms?</x:v>
      </x:c>
      <x:c r="D21" s="21" t="str">
        <x:v>Yes</x:v>
      </x:c>
      <x:c r="E21" s="21" t="str">
        <x:v>Received</x:v>
      </x:c>
      <x:c r="F21" s="21" t="str">
        <x:v>DPA provided</x:v>
      </x:c>
      <x:c r="G21" s="20"/>
      <x:c r="H21" s="20"/>
      <x:c r="I21" s="20"/>
      <x:c r="J21" s="20"/>
      <x:c r="K21" s="20"/>
      <x:c r="L21" s="20"/>
      <x:c r="M21" s="20"/>
      <x:c r="N21" s="20"/>
    </x:row>
    <x:row r="22">
      <x:c r="A22" s="21" t="str">
        <x:v>SEC-21</x:v>
      </x:c>
      <x:c r="B22" s="21" t="str">
        <x:v>Retention</x:v>
      </x:c>
      <x:c r="C22" s="21" t="str">
        <x:v>Are retention periods documented for customer data?</x:v>
      </x:c>
      <x:c r="D22" s="21" t="str">
        <x:v>Yes</x:v>
      </x:c>
      <x:c r="E22" s="21" t="str">
        <x:v>Partial</x:v>
      </x:c>
      <x:c r="F22" s="21" t="str">
        <x:v>General statement provided</x:v>
      </x:c>
      <x:c r="G22" s="20"/>
      <x:c r="H22" s="20"/>
      <x:c r="I22" s="20"/>
      <x:c r="J22" s="20"/>
      <x:c r="K22" s="20"/>
      <x:c r="L22" s="20"/>
      <x:c r="M22" s="20"/>
      <x:c r="N22" s="20"/>
    </x:row>
    <x:row r="23">
      <x:c r="A23" s="21" t="str">
        <x:v>SEC-22</x:v>
      </x:c>
      <x:c r="B23" s="21" t="str">
        <x:v>Deletion</x:v>
      </x:c>
      <x:c r="C23" s="21" t="str">
        <x:v>Is customer data securely deleted at contract termination/expiry according to defined timelines?</x:v>
      </x:c>
      <x:c r="D23" s="21" t="str">
        <x:v>Yes</x:v>
      </x:c>
      <x:c r="E23" s="21" t="str">
        <x:v>Missing</x:v>
      </x:c>
      <x:c r="F23" s="21" t="str">
        <x:v>No evidence supplied</x:v>
      </x:c>
      <x:c r="G23" s="20"/>
      <x:c r="H23" s="20"/>
      <x:c r="I23" s="20"/>
      <x:c r="J23" s="20"/>
      <x:c r="K23" s="20"/>
      <x:c r="L23" s="20"/>
      <x:c r="M23" s="20"/>
      <x:c r="N23" s="20"/>
    </x:row>
    <x:row r="24">
      <x:c r="A24" s="21" t="str">
        <x:v>SEC-23</x:v>
      </x:c>
      <x:c r="B24" s="21" t="str">
        <x:v>Security Assurance</x:v>
      </x:c>
      <x:c r="C24" s="21" t="str">
        <x:v>Do independent assurance activities occur regularly?</x:v>
      </x:c>
      <x:c r="D24" s="21" t="str">
        <x:v>Yes</x:v>
      </x:c>
      <x:c r="E24" s="21" t="str">
        <x:v>Received</x:v>
      </x:c>
      <x:c r="F24" s="21" t="str">
        <x:v>Current assurance report supplied</x:v>
      </x:c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1" t="str">
        <x:v>SEC-24</x:v>
      </x:c>
      <x:c r="B25" s="21" t="str">
        <x:v>Personnel Security</x:v>
      </x:c>
      <x:c r="C25" s="21" t="str">
        <x:v>Are relevant personnel subject to security awareness and screening controls?</x:v>
      </x:c>
      <x:c r="D25" s="21" t="str">
        <x:v>Yes</x:v>
      </x:c>
      <x:c r="E25" s="21" t="str">
        <x:v>Received</x:v>
      </x:c>
      <x:c r="F25" s="21" t="str">
        <x:v>Policy provided</x:v>
      </x:c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21" t="str">
        <x:v>SEC-25</x:v>
      </x:c>
      <x:c r="B26" s="21" t="str">
        <x:v>Third-Party Management</x:v>
      </x:c>
      <x:c r="C26" s="21" t="str">
        <x:v>Does the vendor assess its own critical suppliers for security risk?</x:v>
      </x:c>
      <x:c r="D26" s="21" t="str">
        <x:v>Yes</x:v>
      </x:c>
      <x:c r="E26" s="21" t="str">
        <x:v>Partial</x:v>
      </x:c>
      <x:c r="F26" s="21" t="str">
        <x:v>Process described; sample evidence absent</x:v>
      </x:c>
      <x:c r="G26" s="20"/>
      <x:c r="H26" s="20"/>
      <x:c r="I26" s="20"/>
      <x:c r="J26" s="20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</x:row>
  </x:sheetData>
  <x:pageMargins left="0.7" right="0.7" top="0.75" bottom="0.75" header="0.3" footer="0.3"/>
  <x:tableParts count="1">
    <x:tablePart xmlns:r="http://schemas.openxmlformats.org/officeDocument/2006/relationships" r:id="Rdfd4105fa0194d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0.630000114440918" hidden="0" customWidth="1"/>
    <x:col min="3" max="3" width="35.380001068115234" hidden="0" customWidth="1"/>
    <x:col min="4" max="4" width="20.3799991607666" hidden="0" customWidth="1"/>
    <x:col min="5" max="5" width="11.5" hidden="0" customWidth="1"/>
    <x:col min="6" max="6" width="30.75" hidden="0" customWidth="1"/>
    <x:col min="7" max="7" width="45.380001068115234" hidden="0" customWidth="1"/>
  </x:cols>
  <x:sheetData>
    <x:row r="1">
      <x:c r="A1" s="14" t="str">
        <x:v>Evidence ID</x:v>
      </x:c>
      <x:c r="B1" s="14" t="str">
        <x:v>Vendor ID</x:v>
      </x:c>
      <x:c r="C1" s="14" t="str">
        <x:v>Evidence</x:v>
      </x:c>
      <x:c r="D1" s="14" t="str">
        <x:v>Domain</x:v>
      </x:c>
      <x:c r="E1" s="14" t="str">
        <x:v>Coverage</x:v>
      </x:c>
      <x:c r="F1" s="14" t="str">
        <x:v>Reviewer Assessment</x:v>
      </x:c>
      <x:c r="G1" s="14" t="str">
        <x:v>Gap / Follow-up</x:v>
      </x:c>
      <x:c r="H1" s="20"/>
      <x:c r="I1" s="20"/>
      <x:c r="J1" s="20"/>
      <x:c r="K1" s="20"/>
      <x:c r="L1" s="20"/>
      <x:c r="M1" s="20"/>
      <x:c r="N1" s="20"/>
    </x:row>
    <x:row r="2">
      <x:c r="A2" s="21" t="str">
        <x:v>EV-TP-001</x:v>
      </x:c>
      <x:c r="B2" s="21" t="str">
        <x:v>V-001</x:v>
      </x:c>
      <x:c r="C2" s="21" t="str">
        <x:v>ISO 27001 certificate</x:v>
      </x:c>
      <x:c r="D2" s="21" t="str">
        <x:v>Governance</x:v>
      </x:c>
      <x:c r="E2" s="21" t="str">
        <x:v>Current</x:v>
      </x:c>
      <x:c r="F2" s="21" t="str">
        <x:v>Supports baseline governance</x:v>
      </x:c>
      <x:c r="G2" s="21" t="str">
        <x:v>None</x:v>
      </x:c>
      <x:c r="H2" s="20"/>
      <x:c r="I2" s="20"/>
      <x:c r="J2" s="20"/>
      <x:c r="K2" s="20"/>
      <x:c r="L2" s="20"/>
      <x:c r="M2" s="20"/>
      <x:c r="N2" s="20"/>
    </x:row>
    <x:row r="3">
      <x:c r="A3" s="21" t="str">
        <x:v>EV-TP-002</x:v>
      </x:c>
      <x:c r="B3" s="21" t="str">
        <x:v>V-001</x:v>
      </x:c>
      <x:c r="C3" s="21" t="str">
        <x:v>Independent assurance report</x:v>
      </x:c>
      <x:c r="D3" s="21" t="str">
        <x:v>Security Assurance</x:v>
      </x:c>
      <x:c r="E3" s="21" t="str">
        <x:v>Current period</x:v>
      </x:c>
      <x:c r="F3" s="21" t="str">
        <x:v>Supports operating control assertions</x:v>
      </x:c>
      <x:c r="G3" s="21" t="str">
        <x:v>None</x:v>
      </x:c>
      <x:c r="H3" s="20"/>
      <x:c r="I3" s="20"/>
      <x:c r="J3" s="20"/>
      <x:c r="K3" s="20"/>
      <x:c r="L3" s="20"/>
      <x:c r="M3" s="20"/>
      <x:c r="N3" s="20"/>
    </x:row>
    <x:row r="4">
      <x:c r="A4" s="21" t="str">
        <x:v>EV-TP-003</x:v>
      </x:c>
      <x:c r="B4" s="21" t="str">
        <x:v>V-001</x:v>
      </x:c>
      <x:c r="C4" s="21" t="str">
        <x:v>Information Security Policy</x:v>
      </x:c>
      <x:c r="D4" s="21" t="str">
        <x:v>Governance</x:v>
      </x:c>
      <x:c r="E4" s="21" t="str">
        <x:v>Current</x:v>
      </x:c>
      <x:c r="F4" s="21" t="str">
        <x:v>Supports policy governance</x:v>
      </x:c>
      <x:c r="G4" s="21" t="str">
        <x:v>None</x:v>
      </x:c>
      <x:c r="H4" s="20"/>
      <x:c r="I4" s="20"/>
      <x:c r="J4" s="20"/>
      <x:c r="K4" s="20"/>
      <x:c r="L4" s="20"/>
      <x:c r="M4" s="20"/>
      <x:c r="N4" s="20"/>
    </x:row>
    <x:row r="5">
      <x:c r="A5" s="21" t="str">
        <x:v>EV-TP-004</x:v>
      </x:c>
      <x:c r="B5" s="21" t="str">
        <x:v>V-001</x:v>
      </x:c>
      <x:c r="C5" s="21" t="str">
        <x:v>Access Control Standard</x:v>
      </x:c>
      <x:c r="D5" s="21" t="str">
        <x:v>Access Control</x:v>
      </x:c>
      <x:c r="E5" s="21" t="str">
        <x:v>Current</x:v>
      </x:c>
      <x:c r="F5" s="21" t="str">
        <x:v>Supports privileged-access requirements</x:v>
      </x:c>
      <x:c r="G5" s="21" t="str">
        <x:v>Request admin MFA evidence</x:v>
      </x:c>
      <x:c r="H5" s="20"/>
      <x:c r="I5" s="20"/>
      <x:c r="J5" s="20"/>
      <x:c r="K5" s="20"/>
      <x:c r="L5" s="20"/>
      <x:c r="M5" s="20"/>
      <x:c r="N5" s="20"/>
    </x:row>
    <x:row r="6">
      <x:c r="A6" s="21" t="str">
        <x:v>EV-TP-005</x:v>
      </x:c>
      <x:c r="B6" s="21" t="str">
        <x:v>V-001</x:v>
      </x:c>
      <x:c r="C6" s="21" t="str">
        <x:v>Vulnerability Management Policy</x:v>
      </x:c>
      <x:c r="D6" s="21" t="str">
        <x:v>Vulnerability Management</x:v>
      </x:c>
      <x:c r="E6" s="21" t="str">
        <x:v>Current</x:v>
      </x:c>
      <x:c r="F6" s="21" t="str">
        <x:v>Supports process existence</x:v>
      </x:c>
      <x:c r="G6" s="21" t="str">
        <x:v>Validate latest critical-vulnerability SLA metrics</x:v>
      </x:c>
      <x:c r="H6" s="20"/>
      <x:c r="I6" s="20"/>
      <x:c r="J6" s="20"/>
      <x:c r="K6" s="20"/>
      <x:c r="L6" s="20"/>
      <x:c r="M6" s="20"/>
      <x:c r="N6" s="20"/>
    </x:row>
    <x:row r="7">
      <x:c r="A7" s="21" t="str">
        <x:v>EV-TP-006</x:v>
      </x:c>
      <x:c r="B7" s="21" t="str">
        <x:v>V-001</x:v>
      </x:c>
      <x:c r="C7" s="21" t="str">
        <x:v>Penetration Test Executive Summary</x:v>
      </x:c>
      <x:c r="D7" s="21" t="str">
        <x:v>Penetration Testing</x:v>
      </x:c>
      <x:c r="E7" s="21" t="str">
        <x:v>Referenced</x:v>
      </x:c>
      <x:c r="F7" s="21" t="str">
        <x:v>Insufficient for review</x:v>
      </x:c>
      <x:c r="G7" s="21" t="str">
        <x:v>Request current executive summary or equivalent assurance</x:v>
      </x:c>
      <x:c r="H7" s="20"/>
      <x:c r="I7" s="20"/>
      <x:c r="J7" s="20"/>
      <x:c r="K7" s="20"/>
      <x:c r="L7" s="20"/>
      <x:c r="M7" s="20"/>
      <x:c r="N7" s="20"/>
    </x:row>
    <x:row r="8">
      <x:c r="A8" s="21" t="str">
        <x:v>EV-TP-007</x:v>
      </x:c>
      <x:c r="B8" s="21" t="str">
        <x:v>V-001</x:v>
      </x:c>
      <x:c r="C8" s="21" t="str">
        <x:v>Incident Response Plan and Tabletop Summary</x:v>
      </x:c>
      <x:c r="D8" s="21" t="str">
        <x:v>Incident Response</x:v>
      </x:c>
      <x:c r="E8" s="21" t="str">
        <x:v>Current</x:v>
      </x:c>
      <x:c r="F8" s="21" t="str">
        <x:v>Supports response readiness</x:v>
      </x:c>
      <x:c r="G8" s="21" t="str">
        <x:v>None</x:v>
      </x:c>
      <x:c r="H8" s="20"/>
      <x:c r="I8" s="20"/>
      <x:c r="J8" s="20"/>
      <x:c r="K8" s="20"/>
      <x:c r="L8" s="20"/>
      <x:c r="M8" s="20"/>
      <x:c r="N8" s="20"/>
    </x:row>
    <x:row r="9">
      <x:c r="A9" s="21" t="str">
        <x:v>EV-TP-008</x:v>
      </x:c>
      <x:c r="B9" s="21" t="str">
        <x:v>V-001</x:v>
      </x:c>
      <x:c r="C9" s="21" t="str">
        <x:v>BCP/DR Test Summary</x:v>
      </x:c>
      <x:c r="D9" s="21" t="str">
        <x:v>BCP/DR</x:v>
      </x:c>
      <x:c r="E9" s="21" t="str">
        <x:v>Recent</x:v>
      </x:c>
      <x:c r="F9" s="21" t="str">
        <x:v>Supports continuity testing</x:v>
      </x:c>
      <x:c r="G9" s="21" t="str">
        <x:v>None</x:v>
      </x:c>
      <x:c r="H9" s="20"/>
      <x:c r="I9" s="20"/>
      <x:c r="J9" s="20"/>
      <x:c r="K9" s="20"/>
      <x:c r="L9" s="20"/>
      <x:c r="M9" s="20"/>
      <x:c r="N9" s="20"/>
    </x:row>
    <x:row r="10">
      <x:c r="A10" s="21" t="str">
        <x:v>EV-TP-009</x:v>
      </x:c>
      <x:c r="B10" s="21" t="str">
        <x:v>V-001</x:v>
      </x:c>
      <x:c r="C10" s="21" t="str">
        <x:v>Subprocessor List</x:v>
      </x:c>
      <x:c r="D10" s="21" t="str">
        <x:v>Supply Chain</x:v>
      </x:c>
      <x:c r="E10" s="21" t="str">
        <x:v>Current</x:v>
      </x:c>
      <x:c r="F10" s="21" t="str">
        <x:v>Supports inventory</x:v>
      </x:c>
      <x:c r="G10" s="21" t="str">
        <x:v>Request notification/change process</x:v>
      </x:c>
      <x:c r="H10" s="20"/>
      <x:c r="I10" s="20"/>
      <x:c r="J10" s="20"/>
      <x:c r="K10" s="20"/>
      <x:c r="L10" s="20"/>
      <x:c r="M10" s="20"/>
      <x:c r="N10" s="20"/>
    </x:row>
    <x:row r="11">
      <x:c r="A11" s="21" t="str">
        <x:v>EV-TP-010</x:v>
      </x:c>
      <x:c r="B11" s="21" t="str">
        <x:v>V-001</x:v>
      </x:c>
      <x:c r="C11" s="21" t="str">
        <x:v>Data Processing Agreement</x:v>
      </x:c>
      <x:c r="D11" s="21" t="str">
        <x:v>Privacy</x:v>
      </x:c>
      <x:c r="E11" s="21" t="str">
        <x:v>Current</x:v>
      </x:c>
      <x:c r="F11" s="21" t="str">
        <x:v>Supports privacy obligations</x:v>
      </x:c>
      <x:c r="G11" s="21" t="str">
        <x:v>None</x:v>
      </x:c>
      <x:c r="H11" s="20"/>
      <x:c r="I11" s="20"/>
      <x:c r="J11" s="20"/>
      <x:c r="K11" s="20"/>
      <x:c r="L11" s="20"/>
      <x:c r="M11" s="20"/>
      <x:c r="N11" s="20"/>
    </x:row>
    <x:row r="12">
      <x:c r="A12" s="21" t="str">
        <x:v>EV-TP-011</x:v>
      </x:c>
      <x:c r="B12" s="21" t="str">
        <x:v>V-001</x:v>
      </x:c>
      <x:c r="C12" s="21" t="str">
        <x:v>Data Retention Statement</x:v>
      </x:c>
      <x:c r="D12" s="21" t="str">
        <x:v>Data Lifecycle</x:v>
      </x:c>
      <x:c r="E12" s="21" t="str">
        <x:v>General only</x:v>
      </x:c>
      <x:c r="F12" s="21" t="str">
        <x:v>Partially supports retention</x:v>
      </x:c>
      <x:c r="G12" s="21" t="str">
        <x:v>Request defined retention periods</x:v>
      </x:c>
      <x:c r="H12" s="20"/>
      <x:c r="I12" s="20"/>
      <x:c r="J12" s="20"/>
      <x:c r="K12" s="20"/>
      <x:c r="L12" s="20"/>
      <x:c r="M12" s="20"/>
      <x:c r="N12" s="20"/>
    </x:row>
    <x:row r="13">
      <x:c r="A13" s="21" t="str">
        <x:v>EV-TP-012</x:v>
      </x:c>
      <x:c r="B13" s="21" t="str">
        <x:v>V-001</x:v>
      </x:c>
      <x:c r="C13" s="21" t="str">
        <x:v>Secure Deletion Procedure</x:v>
      </x:c>
      <x:c r="D13" s="21" t="str">
        <x:v>Data Lifecycle</x:v>
      </x:c>
      <x:c r="E13" s="21" t="str">
        <x:v>Not supplied</x:v>
      </x:c>
      <x:c r="F13" s="21" t="str">
        <x:v>Control could not be validated</x:v>
      </x:c>
      <x:c r="G13" s="21" t="str">
        <x:v>Request procedure and sample attestation</x:v>
      </x:c>
      <x:c r="H13" s="20"/>
      <x:c r="I13" s="20"/>
      <x:c r="J13" s="20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</x:row>
  </x:sheetData>
  <x:pageMargins left="0.7" right="0.7" top="0.75" bottom="0.75" header="0.3" footer="0.3"/>
  <x:tableParts count="1">
    <x:tablePart xmlns:r="http://schemas.openxmlformats.org/officeDocument/2006/relationships" r:id="R2a73e71a07fa4e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0.630000114440918" hidden="0" customWidth="1"/>
    <x:col min="3" max="3" width="28.3799991607666" hidden="0" customWidth="1"/>
    <x:col min="4" max="4" width="14.130000114440918" hidden="0" customWidth="1"/>
    <x:col min="5" max="5" width="13" hidden="0" customWidth="1"/>
    <x:col min="6" max="6" width="15.630000114440918" hidden="0" customWidth="1"/>
    <x:col min="7" max="7" width="13.880000114440918" hidden="0" customWidth="1"/>
    <x:col min="8" max="8" width="14.130000114440918" hidden="0" customWidth="1"/>
    <x:col min="9" max="9" width="12.880000114440918" hidden="0" customWidth="1"/>
    <x:col min="10" max="10" width="70.62999725341797" hidden="0" customWidth="1"/>
    <x:col min="11" max="11" width="29.25" hidden="0" customWidth="1"/>
  </x:cols>
  <x:sheetData>
    <x:row r="1">
      <x:c r="A1" s="14" t="str">
        <x:v>Assessment ID</x:v>
      </x:c>
      <x:c r="B1" s="14" t="str">
        <x:v>Vendor ID</x:v>
      </x:c>
      <x:c r="C1" s="14" t="str">
        <x:v>Vendor</x:v>
      </x:c>
      <x:c r="D1" s="14" t="str">
        <x:v>Inherent Score</x:v>
      </x:c>
      <x:c r="E1" s="14" t="str">
        <x:v>Inherent Tier</x:v>
      </x:c>
      <x:c r="F1" s="14" t="str">
        <x:v>Control Strength</x:v>
      </x:c>
      <x:c r="G1" s="14" t="str">
        <x:v>Open Findings</x:v>
      </x:c>
      <x:c r="H1" s="14" t="str">
        <x:v>Residual Score</x:v>
      </x:c>
      <x:c r="I1" s="14" t="str">
        <x:v>Residual Tier</x:v>
      </x:c>
      <x:c r="J1" s="14" t="str">
        <x:v>Key Risk Driver</x:v>
      </x:c>
      <x:c r="K1" s="14" t="str">
        <x:v>Approval Path</x:v>
      </x:c>
    </x:row>
    <x:row r="2">
      <x:c r="A2" s="21" t="str">
        <x:v>TPRA-001</x:v>
      </x:c>
      <x:c r="B2" s="21" t="str">
        <x:v>V-001</x:v>
      </x:c>
      <x:c r="C2" s="21" t="str">
        <x:v>BluePeak Cloud Monitoring Pvt. Ltd.</x:v>
      </x:c>
      <x:c r="D2" s="34" t="n">
        <x:f>SUM('Vendor Inventory'!D2:H2)</x:f>
        <x:v>23</x:v>
      </x:c>
      <x:c r="E2" s="34" t="str">
        <x:f>IF(D2&gt;=22,"Critical",IF(D2&gt;=17,"High",IF(D2&gt;=10,"Medium","Low")))</x:f>
        <x:v>Critical</x:v>
      </x:c>
      <x:c r="F2" s="34" t="str">
        <x:v>Moderate</x:v>
      </x:c>
      <x:c r="G2" s="34" t="n">
        <x:v>4</x:v>
      </x:c>
      <x:c r="H2" s="34" t="n">
        <x:f>D2-5</x:f>
        <x:v>18</x:v>
      </x:c>
      <x:c r="I2" s="21" t="str">
        <x:f>IF(H2&gt;=22,"Critical",IF(H2&gt;=17,"High",IF(H2&gt;=10,"Medium","Low")))</x:f>
        <x:v>High</x:v>
      </x:c>
      <x:c r="J2" s="21" t="str">
        <x:v>Production integration plus incomplete evidence for admin MFA, deletion and assurance items</x:v>
      </x:c>
      <x:c r="K2" s="21" t="str">
        <x:v>Conditional approval with remediation</x:v>
      </x:c>
    </x:row>
    <x:row r="3">
      <x:c r="A3" s="21" t="str">
        <x:v>TPRA-002</x:v>
      </x:c>
      <x:c r="B3" s="21" t="str">
        <x:v>V-002</x:v>
      </x:c>
      <x:c r="C3" s="21" t="str">
        <x:v>NorthBridge HR Services Pvt. Ltd.</x:v>
      </x:c>
      <x:c r="D3" s="34" t="n">
        <x:f>SUM('Vendor Inventory'!D3:H3)</x:f>
        <x:v>20</x:v>
      </x:c>
      <x:c r="E3" s="34" t="str">
        <x:f>IF(D3&gt;=22,"Critical",IF(D3&gt;=17,"High",IF(D3&gt;=10,"Medium","Low")))</x:f>
        <x:v>High</x:v>
      </x:c>
      <x:c r="F3" s="34" t="str">
        <x:v>Moderate</x:v>
      </x:c>
      <x:c r="G3" s="34" t="n">
        <x:v>0</x:v>
      </x:c>
      <x:c r="H3" s="34" t="n">
        <x:f>D3-5</x:f>
        <x:v>15</x:v>
      </x:c>
      <x:c r="I3" s="21" t="str">
        <x:f>IF(H3&gt;=22,"Critical",IF(H3&gt;=17,"High",IF(H3&gt;=10,"Medium","Low")))</x:f>
        <x:v>Medium</x:v>
      </x:c>
      <x:c r="J3" s="21" t="str">
        <x:v>High data and regulatory exposure with baseline evidence currently available</x:v>
      </x:c>
      <x:c r="K3" s="21" t="str">
        <x:v>Pending annual assessment closure</x:v>
      </x:c>
    </x:row>
    <x:row r="4">
      <x:c r="A4" s="21" t="str">
        <x:v>TPRA-003</x:v>
      </x:c>
      <x:c r="B4" s="21" t="str">
        <x:v>V-003</x:v>
      </x:c>
      <x:c r="C4" s="21" t="str">
        <x:v>Silverline Collaboration Tools Pvt. Ltd.</x:v>
      </x:c>
      <x:c r="D4" s="34" t="n">
        <x:f>SUM('Vendor Inventory'!D4:H4)</x:f>
        <x:v>13</x:v>
      </x:c>
      <x:c r="E4" s="34" t="str">
        <x:f>IF(D4&gt;=22,"Critical",IF(D4&gt;=17,"High",IF(D4&gt;=10,"Medium","Low")))</x:f>
        <x:v>Medium</x:v>
      </x:c>
      <x:c r="F4" s="34" t="str">
        <x:v>Strong</x:v>
      </x:c>
      <x:c r="G4" s="34" t="n">
        <x:v>0</x:v>
      </x:c>
      <x:c r="H4" s="34" t="n">
        <x:f>D4-5</x:f>
        <x:v>8</x:v>
      </x:c>
      <x:c r="I4" s="21" t="str">
        <x:f>IF(H4&gt;=22,"Critical",IF(H4&gt;=17,"High",IF(H4&gt;=10,"Medium","Low")))</x:f>
        <x:v>Low</x:v>
      </x:c>
      <x:c r="J4" s="21" t="str">
        <x:v>Limited sensitive-data scope and satisfactory baseline evidence</x:v>
      </x:c>
      <x:c r="K4" s="21" t="str">
        <x:v>Routine monitoring</x:v>
      </x:c>
    </x:row>
    <x:row r="5">
      <x:c r="A5" s="21" t="str">
        <x:v>TPRA-004</x:v>
      </x:c>
      <x:c r="B5" s="21" t="str">
        <x:v>V-004</x:v>
      </x:c>
      <x:c r="C5" s="21" t="str">
        <x:v>PaperTrail Office Supplies Pvt. Ltd.</x:v>
      </x:c>
      <x:c r="D5" s="34" t="n">
        <x:f>SUM('Vendor Inventory'!D5:H5)</x:f>
        <x:v>5</x:v>
      </x:c>
      <x:c r="E5" s="34" t="str">
        <x:f>IF(D5&gt;=22,"Critical",IF(D5&gt;=17,"High",IF(D5&gt;=10,"Medium","Low")))</x:f>
        <x:v>Low</x:v>
      </x:c>
      <x:c r="F5" s="34" t="str">
        <x:v>Not assessed</x:v>
      </x:c>
      <x:c r="G5" s="34" t="n">
        <x:v>0</x:v>
      </x:c>
      <x:c r="H5" s="34" t="n">
        <x:f>D5-5</x:f>
        <x:v>0</x:v>
      </x:c>
      <x:c r="I5" s="21" t="str">
        <x:f>IF(H5&gt;=22,"Critical",IF(H5&gt;=17,"High",IF(H5&gt;=10,"Medium","Low")))</x:f>
        <x:v>Low</x:v>
      </x:c>
      <x:c r="J5" s="21" t="str">
        <x:v>No material information-security exposure identified</x:v>
      </x:c>
      <x:c r="K5" s="21" t="str">
        <x:v>Light-touch onboarding</x:v>
      </x:c>
    </x:row>
  </x:sheetData>
  <x:conditionalFormatting sqref="I2:I5">
    <x:cfRule type="expression" dxfId="2" priority="1">
      <x:formula>I2="High"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c4742339ab4e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0.630000114440918" hidden="0" customWidth="1"/>
    <x:col min="3" max="3" width="17" hidden="0" customWidth="1"/>
    <x:col min="4" max="4" width="36.630001068115234" hidden="0" customWidth="1"/>
    <x:col min="5" max="5" width="6.880000114440918" hidden="0" customWidth="1"/>
    <x:col min="6" max="6" width="59.880001068115234" hidden="0" customWidth="1"/>
    <x:col min="7" max="7" width="16.25" hidden="0" customWidth="1"/>
    <x:col min="8" max="8" width="7.75" hidden="0" customWidth="1"/>
  </x:cols>
  <x:sheetData>
    <x:row r="1">
      <x:c r="A1" s="14" t="str">
        <x:v>Finding ID</x:v>
      </x:c>
      <x:c r="B1" s="14" t="str">
        <x:v>Vendor ID</x:v>
      </x:c>
      <x:c r="C1" s="14" t="str">
        <x:v>Domain</x:v>
      </x:c>
      <x:c r="D1" s="14" t="str">
        <x:v>Finding</x:v>
      </x:c>
      <x:c r="E1" s="14" t="str">
        <x:v>Risk</x:v>
      </x:c>
      <x:c r="F1" s="14" t="str">
        <x:v>Recommendation</x:v>
      </x:c>
      <x:c r="G1" s="14" t="str">
        <x:v>Owner</x:v>
      </x:c>
      <x:c r="H1" s="14" t="str">
        <x:v>Status</x:v>
      </x:c>
      <x:c r="I1" s="20"/>
      <x:c r="J1" s="20"/>
      <x:c r="K1" s="20"/>
      <x:c r="L1" s="20"/>
      <x:c r="M1" s="20"/>
      <x:c r="N1" s="20"/>
    </x:row>
    <x:row r="2">
      <x:c r="A2" s="21" t="str">
        <x:v>TPRF-001</x:v>
      </x:c>
      <x:c r="B2" s="21" t="str">
        <x:v>V-001</x:v>
      </x:c>
      <x:c r="C2" s="21" t="str">
        <x:v>Access Control</x:v>
      </x:c>
      <x:c r="D2" s="21" t="str">
        <x:v>Admin MFA evidence incomplete</x:v>
      </x:c>
      <x:c r="E2" s="21" t="str">
        <x:v>High</x:v>
      </x:c>
      <x:c r="F2" s="21" t="str">
        <x:v>Obtain independent/configuration evidence covering all privileged admin paths.</x:v>
      </x:c>
      <x:c r="G2" s="21" t="str">
        <x:v>Vendor Security Lead</x:v>
      </x:c>
      <x:c r="H2" s="21" t="str">
        <x:v>Open</x:v>
      </x:c>
      <x:c r="I2" s="20"/>
      <x:c r="J2" s="20"/>
      <x:c r="K2" s="20"/>
      <x:c r="L2" s="20"/>
      <x:c r="M2" s="20"/>
      <x:c r="N2" s="20"/>
    </x:row>
    <x:row r="3">
      <x:c r="A3" s="21" t="str">
        <x:v>TPRF-002</x:v>
      </x:c>
      <x:c r="B3" s="21" t="str">
        <x:v>V-001</x:v>
      </x:c>
      <x:c r="C3" s="21" t="str">
        <x:v>Penetration Testing</x:v>
      </x:c>
      <x:c r="D3" s="21" t="str">
        <x:v>Current penetration-test evidence not supplied</x:v>
      </x:c>
      <x:c r="E3" s="21" t="str">
        <x:v>Medium</x:v>
      </x:c>
      <x:c r="F3" s="21" t="str">
        <x:v>Provide current executive summary or equivalent assurance evidence.</x:v>
      </x:c>
      <x:c r="G3" s="21" t="str">
        <x:v>Vendor Security Lead</x:v>
      </x:c>
      <x:c r="H3" s="21" t="str">
        <x:v>Open</x:v>
      </x:c>
      <x:c r="I3" s="20"/>
      <x:c r="J3" s="20"/>
      <x:c r="K3" s="20"/>
      <x:c r="L3" s="20"/>
      <x:c r="M3" s="20"/>
      <x:c r="N3" s="20"/>
    </x:row>
    <x:row r="4">
      <x:c r="A4" s="21" t="str">
        <x:v>TPRF-003</x:v>
      </x:c>
      <x:c r="B4" s="21" t="str">
        <x:v>V-001</x:v>
      </x:c>
      <x:c r="C4" s="21" t="str">
        <x:v>Supply Chain / Privacy</x:v>
      </x:c>
      <x:c r="D4" s="21" t="str">
        <x:v>Subprocessor notification process not evidenced</x:v>
      </x:c>
      <x:c r="E4" s="21" t="str">
        <x:v>Medium</x:v>
      </x:c>
      <x:c r="F4" s="21" t="str">
        <x:v>Provide contractual notification language and operating workflow.</x:v>
      </x:c>
      <x:c r="G4" s="21" t="str">
        <x:v>Vendor Privacy Lead</x:v>
      </x:c>
      <x:c r="H4" s="21" t="str">
        <x:v>Open</x:v>
      </x:c>
      <x:c r="I4" s="20"/>
      <x:c r="J4" s="20"/>
      <x:c r="K4" s="20"/>
      <x:c r="L4" s="20"/>
      <x:c r="M4" s="20"/>
      <x:c r="N4" s="20"/>
    </x:row>
    <x:row r="5">
      <x:c r="A5" s="21" t="str">
        <x:v>TPRF-004</x:v>
      </x:c>
      <x:c r="B5" s="21" t="str">
        <x:v>V-001</x:v>
      </x:c>
      <x:c r="C5" s="21" t="str">
        <x:v>Data Lifecycle</x:v>
      </x:c>
      <x:c r="D5" s="21" t="str">
        <x:v>Secure deletion evidence missing</x:v>
      </x:c>
      <x:c r="E5" s="21" t="str">
        <x:v>High</x:v>
      </x:c>
      <x:c r="F5" s="21" t="str">
        <x:v>Provide retention/deletion requirements and sample deletion attestation.</x:v>
      </x:c>
      <x:c r="G5" s="21" t="str">
        <x:v>Vendor Privacy Lead</x:v>
      </x:c>
      <x:c r="H5" s="21" t="str">
        <x:v>Open</x:v>
      </x:c>
      <x:c r="I5" s="20"/>
      <x:c r="J5" s="20"/>
      <x:c r="K5" s="20"/>
      <x:c r="L5" s="20"/>
      <x:c r="M5" s="20"/>
      <x:c r="N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</x:row>
  </x:sheetData>
  <x:conditionalFormatting sqref="E2:E5">
    <x:cfRule type="expression" dxfId="3" priority="1">
      <x:formula>E2="High"</x:formula>
    </x:cfRule>
  </x:conditionalFormatting>
  <x:dataValidations count="1">
    <x:dataValidation type="list" sqref="H2:H5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0f10335c6c42a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.630000114440918" hidden="0" customWidth="1"/>
    <x:col min="3" max="3" width="10.630000114440918" hidden="0" customWidth="1"/>
    <x:col min="4" max="4" width="68" hidden="0" customWidth="1"/>
    <x:col min="5" max="5" width="8.880000114440918" hidden="0" customWidth="1"/>
    <x:col min="6" max="6" width="16.25" hidden="0" customWidth="1"/>
    <x:col min="7" max="7" width="11.75" hidden="0" customWidth="1"/>
    <x:col min="8" max="8" width="48.5" hidden="0" customWidth="1"/>
    <x:col min="9" max="9" width="7.75" hidden="0" customWidth="1"/>
    <x:col min="10" max="10" width="39.75" hidden="0" customWidth="1"/>
  </x:cols>
  <x:sheetData>
    <x:row r="1">
      <x:c r="A1" s="14" t="str">
        <x:v>Action ID</x:v>
      </x:c>
      <x:c r="B1" s="14" t="str">
        <x:v>Finding ID</x:v>
      </x:c>
      <x:c r="C1" s="14" t="str">
        <x:v>Vendor ID</x:v>
      </x:c>
      <x:c r="D1" s="14" t="str">
        <x:v>Remediation Action</x:v>
      </x:c>
      <x:c r="E1" s="14" t="str">
        <x:v>Priority</x:v>
      </x:c>
      <x:c r="F1" s="14" t="str">
        <x:v>Owner</x:v>
      </x:c>
      <x:c r="G1" s="14" t="str">
        <x:v>Target Date</x:v>
      </x:c>
      <x:c r="H1" s="14" t="str">
        <x:v>Success Measure</x:v>
      </x:c>
      <x:c r="I1" s="14" t="str">
        <x:v>Status</x:v>
      </x:c>
      <x:c r="J1" s="14" t="str">
        <x:v>Validation Method</x:v>
      </x:c>
      <x:c r="K1" s="20"/>
      <x:c r="L1" s="20"/>
      <x:c r="M1" s="20"/>
      <x:c r="N1" s="20"/>
    </x:row>
    <x:row r="2">
      <x:c r="A2" s="21" t="str">
        <x:v>TPRA-001</x:v>
      </x:c>
      <x:c r="B2" s="21" t="str">
        <x:v>TPRF-001</x:v>
      </x:c>
      <x:c r="C2" s="21" t="str">
        <x:v>V-001</x:v>
      </x:c>
      <x:c r="D2" s="21" t="str">
        <x:v>Provide evidence that privileged administrators are protected by MFA.</x:v>
      </x:c>
      <x:c r="E2" s="21" t="str">
        <x:v>High</x:v>
      </x:c>
      <x:c r="F2" s="21" t="str">
        <x:v>Vendor Security Lead</x:v>
      </x:c>
      <x:c r="G2" s="36" t="n">
        <x:v>46305</x:v>
      </x:c>
      <x:c r="H2" s="21" t="str">
        <x:v>Independent evidence covers all privileged administrative paths.</x:v>
      </x:c>
      <x:c r="I2" s="21" t="str">
        <x:v>Open</x:v>
      </x:c>
      <x:c r="J2" s="21" t="str">
        <x:v>Review evidence and map to questionnaire response</x:v>
      </x:c>
      <x:c r="K2" s="20"/>
      <x:c r="L2" s="20"/>
      <x:c r="M2" s="20"/>
      <x:c r="N2" s="20"/>
    </x:row>
    <x:row r="3">
      <x:c r="A3" s="21" t="str">
        <x:v>TPRA-002</x:v>
      </x:c>
      <x:c r="B3" s="21" t="str">
        <x:v>TPRF-002</x:v>
      </x:c>
      <x:c r="C3" s="21" t="str">
        <x:v>V-001</x:v>
      </x:c>
      <x:c r="D3" s="21" t="str">
        <x:v>Provide current penetration-test executive summary or equivalent independent assurance.</x:v>
      </x:c>
      <x:c r="E3" s="21" t="str">
        <x:v>Medium</x:v>
      </x:c>
      <x:c r="F3" s="21" t="str">
        <x:v>Vendor Security Lead</x:v>
      </x:c>
      <x:c r="G3" s="36" t="n">
        <x:v>46315</x:v>
      </x:c>
      <x:c r="H3" s="21" t="str">
        <x:v>Current testing evidence reviewed and scope understood.</x:v>
      </x:c>
      <x:c r="I3" s="21" t="str">
        <x:v>Open</x:v>
      </x:c>
      <x:c r="J3" s="21" t="str">
        <x:v>Document evidence review</x:v>
      </x:c>
      <x:c r="K3" s="20"/>
      <x:c r="L3" s="20"/>
      <x:c r="M3" s="20"/>
      <x:c r="N3" s="20"/>
    </x:row>
    <x:row r="4">
      <x:c r="A4" s="21" t="str">
        <x:v>TPRA-003</x:v>
      </x:c>
      <x:c r="B4" s="21" t="str">
        <x:v>TPRF-003</x:v>
      </x:c>
      <x:c r="C4" s="21" t="str">
        <x:v>V-001</x:v>
      </x:c>
      <x:c r="D4" s="21" t="str">
        <x:v>Provide contractual notification language and workflow for material subprocessor changes.</x:v>
      </x:c>
      <x:c r="E4" s="21" t="str">
        <x:v>Medium</x:v>
      </x:c>
      <x:c r="F4" s="21" t="str">
        <x:v>Vendor Privacy Lead</x:v>
      </x:c>
      <x:c r="G4" s="36" t="n">
        <x:v>46319</x:v>
      </x:c>
      <x:c r="H4" s="21" t="str">
        <x:v>Notification and review process is documented and applicable.</x:v>
      </x:c>
      <x:c r="I4" s="21" t="str">
        <x:v>Open</x:v>
      </x:c>
      <x:c r="J4" s="21" t="str">
        <x:v>Review DPA/terms and procedure</x:v>
      </x:c>
      <x:c r="K4" s="20"/>
      <x:c r="L4" s="20"/>
      <x:c r="M4" s="20"/>
      <x:c r="N4" s="20"/>
    </x:row>
    <x:row r="5">
      <x:c r="A5" s="21" t="str">
        <x:v>TPRA-004</x:v>
      </x:c>
      <x:c r="B5" s="21" t="str">
        <x:v>TPRF-004</x:v>
      </x:c>
      <x:c r="C5" s="21" t="str">
        <x:v>V-001</x:v>
      </x:c>
      <x:c r="D5" s="21" t="str">
        <x:v>Provide documented retention/deletion requirements plus sample deletion attestation.</x:v>
      </x:c>
      <x:c r="E5" s="21" t="str">
        <x:v>High</x:v>
      </x:c>
      <x:c r="F5" s="21" t="str">
        <x:v>Vendor Privacy Lead</x:v>
      </x:c>
      <x:c r="G5" s="36" t="n">
        <x:v>46305</x:v>
      </x:c>
      <x:c r="H5" s="21" t="str">
        <x:v>Deletion obligations and evidence path are defined and testable.</x:v>
      </x:c>
      <x:c r="I5" s="21" t="str">
        <x:v>Open</x:v>
      </x:c>
      <x:c r="J5" s="21" t="str">
        <x:v>Review procedure and sample certificate</x:v>
      </x:c>
      <x:c r="K5" s="20"/>
      <x:c r="L5" s="20"/>
      <x:c r="M5" s="20"/>
      <x:c r="N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</x:row>
  </x:sheetData>
  <x:conditionalFormatting sqref="E2:E5">
    <x:cfRule type="expression" dxfId="4" priority="1">
      <x:formula>E2="High"</x:formula>
    </x:cfRule>
  </x:conditionalFormatting>
  <x:dataValidations count="2">
    <x:dataValidation type="list" sqref="E2:E5">
      <x:formula1>"Low,Medium,High,Critical"</x:formula1>
    </x:dataValidation>
    <x:dataValidation type="list" sqref="I2:I5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58d8f8ed0144b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7" hidden="0" customWidth="1"/>
    <x:col min="2" max="2" width="75.12999725341797" hidden="0" customWidth="1"/>
  </x:cols>
  <x:sheetData>
    <x:row r="1">
      <x:c r="A1" s="5" t="str">
        <x:v>Executive Summary — BluePeak Cloud Monitoring TPRM Assessment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Metric</x:v>
      </x:c>
      <x:c r="B3" s="14" t="str">
        <x:v>Result</x:v>
      </x:c>
    </x:row>
    <x:row r="4">
      <x:c r="A4" s="21" t="str">
        <x:v>Inherent Risk</x:v>
      </x:c>
      <x:c r="B4" s="21" t="str">
        <x:v>Critical — 23/25</x:v>
      </x:c>
    </x:row>
    <x:row r="5">
      <x:c r="A5" s="21" t="str">
        <x:v>Residual Risk</x:v>
      </x:c>
      <x:c r="B5" s="21" t="str">
        <x:v>High — 18/25</x:v>
      </x:c>
    </x:row>
    <x:row r="6">
      <x:c r="A6" s="21" t="str">
        <x:v>Open Findings</x:v>
      </x:c>
      <x:c r="B6" s="21" t="n">
        <x:v>4</x:v>
      </x:c>
    </x:row>
    <x:row r="7">
      <x:c r="A7" s="21" t="str">
        <x:v>High-Risk Findings</x:v>
      </x:c>
      <x:c r="B7" s="21" t="n">
        <x:v>2</x:v>
      </x:c>
    </x:row>
    <x:row r="8">
      <x:c r="A8" s="21" t="str">
        <x:v>Decision</x:v>
      </x:c>
      <x:c r="B8" s="21" t="str">
        <x:v>Conditional approval with restrictions</x:v>
      </x:c>
    </x:row>
    <x:row r="9">
      <x:c r="A9" s="21" t="str">
        <x:v>Primary Risk Themes</x:v>
      </x:c>
      <x:c r="B9" s="21" t="str">
        <x:v>Privileged access, assurance evidence, subprocessors, secure deletion</x:v>
      </x:c>
    </x:row>
    <x:row r="11">
      <x:c r="A11" s="14" t="str">
        <x:v>Executive Observation</x:v>
      </x:c>
      <x:c r="B11" s="14" t="str">
        <x:v>Assessment</x:v>
      </x:c>
      <x:c r="C11" s="14"/>
      <x:c r="D11" s="14"/>
      <x:c r="E11" s="14"/>
      <x:c r="F11" s="14"/>
      <x:c r="G11" s="14"/>
      <x:c r="H11" s="14"/>
    </x:row>
    <x:row r="12">
      <x:c r="A12" s="21" t="str">
        <x:v>Vendor criticality</x:v>
      </x:c>
      <x:c r="B12" s="21" t="str">
        <x:v>The vendor has material production integration and operational dependency.</x:v>
      </x:c>
      <x:c r="C12" s="21"/>
      <x:c r="D12" s="21"/>
      <x:c r="E12" s="21"/>
      <x:c r="F12" s="21"/>
      <x:c r="G12" s="21"/>
      <x:c r="H12" s="21"/>
    </x:row>
    <x:row r="13">
      <x:c r="A13" s="21" t="str">
        <x:v>Evidence sufficiency</x:v>
      </x:c>
      <x:c r="B13" s="21" t="str">
        <x:v>Baseline security practices are evidenced, but four items require additional evidence or remediation.</x:v>
      </x:c>
      <x:c r="C13" s="21"/>
      <x:c r="D13" s="21"/>
      <x:c r="E13" s="21"/>
      <x:c r="F13" s="21"/>
      <x:c r="G13" s="21"/>
      <x:c r="H13" s="21"/>
    </x:row>
    <x:row r="14">
      <x:c r="A14" s="21" t="str">
        <x:v>High-priority items</x:v>
      </x:c>
      <x:c r="B14" s="21" t="str">
        <x:v>Admin MFA assurance and secure deletion evidence are treated as high-risk gaps in the simulation.</x:v>
      </x:c>
      <x:c r="C14" s="21"/>
      <x:c r="D14" s="21"/>
      <x:c r="E14" s="21"/>
      <x:c r="F14" s="21"/>
      <x:c r="G14" s="21"/>
      <x:c r="H14" s="21"/>
    </x:row>
    <x:row r="15">
      <x:c r="A15" s="21" t="str">
        <x:v>Treatment</x:v>
      </x:c>
      <x:c r="B15" s="21" t="str">
        <x:v>Limit production access/processing until high-priority remediation evidence is validated.</x:v>
      </x:c>
      <x:c r="C15" s="21"/>
      <x:c r="D15" s="21"/>
      <x:c r="E15" s="21"/>
      <x:c r="F15" s="21"/>
      <x:c r="G15" s="21"/>
      <x:c r="H15" s="21"/>
    </x:row>
    <x:row r="16">
      <x:c r="A16" s="21" t="str">
        <x:v>Reassessment</x:v>
      </x:c>
      <x:c r="B16" s="21" t="str">
        <x:v>Re-score residual risk after remediation and evidence validation.</x:v>
      </x:c>
      <x:c r="C16" s="21"/>
      <x:c r="D16" s="21"/>
      <x:c r="E16" s="21"/>
      <x:c r="F16" s="21"/>
      <x:c r="G16" s="21"/>
      <x:c r="H16" s="21"/>
    </x:row>
  </x:sheetData>
  <x:mergeCells>
    <x:mergeCell ref="A1:H1"/>
  </x:mergeCells>
  <x:pageMargins left="0.7" right="0.7" top="0.75" bottom="0.75" header="0.3" footer="0.3"/>
</x:worksheet>
</file>