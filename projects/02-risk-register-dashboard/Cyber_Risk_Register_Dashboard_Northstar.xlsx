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073f72d2624e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e72daa299894125"/>
    <x:sheet xmlns:r="http://schemas.openxmlformats.org/officeDocument/2006/relationships" name="Risk Register" sheetId="2" r:id="R3412db6e34414322"/>
    <x:sheet xmlns:r="http://schemas.openxmlformats.org/officeDocument/2006/relationships" name="Methodology" sheetId="3" r:id="Rcf1e37d5c7244923"/>
    <x:sheet xmlns:r="http://schemas.openxmlformats.org/officeDocument/2006/relationships" name="KRI Dashboard" sheetId="4" r:id="R33c3fb6fe9c148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20"/>
      <x:color rgb="FF17365D"/>
      <x:name val="Carlito"/>
    </x:font>
    <x:font>
      <x:b/>
      <x:sz val="11"/>
      <x:color rgb="FF1F1F1F"/>
      <x:name val="Carlito"/>
    </x:font>
    <x:font>
      <x:i/>
      <x:sz val="11"/>
      <x:color rgb="FF1F1F1F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  <x:fill>
      <x:patternFill patternType="solid">
        <x:fgColor rgb="FFF2F2F2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6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1" fillId="3" borderId="0" xfId="0" applyNumberFormat="1" applyFont="1" applyFill="1" applyBorder="1" applyAlignment="1">
      <x:alignment vertical="top"/>
    </x:xf>
    <x:xf numFmtId="0" fontId="0" fillId="4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/>
    </x:xf>
    <x:xf numFmtId="0" fontId="0" fillId="0" borderId="1" xfId="0" applyNumberFormat="1" applyFont="1" applyFill="1" applyBorder="1" applyAlignment="1">
      <x:alignment vertical="top"/>
    </x:xf>
    <x:xf numFmtId="0" fontId="1" fillId="3" borderId="1" xfId="0" applyNumberFormat="1" applyFont="1" applyFill="1" applyBorder="1" applyAlignment="1">
      <x:alignment vertical="top"/>
    </x:xf>
    <x:xf numFmtId="0" fontId="0" fillId="4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3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horizontal="center"/>
    </x:xf>
    <x:xf numFmtId="0" fontId="3" fillId="5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1" xfId="0" applyNumberFormat="1" applyFont="1" applyFill="1" applyBorder="1"/>
    <x:xf numFmtId="0" fontId="6" fillId="2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d6978b0ed144d91" /><Relationship Type="http://schemas.openxmlformats.org/officeDocument/2006/relationships/theme" Target="/xl/theme/theme1.xml" Id="Re52ea6f2d85145f6" /><Relationship Type="http://schemas.openxmlformats.org/officeDocument/2006/relationships/sharedStrings" Target="/xl/sharedStrings.xml" Id="Rf2d7737a06754cf8" /><Relationship Type="http://schemas.openxmlformats.org/officeDocument/2006/relationships/worksheet" Target="/xl/worksheets/sheet1.xml" Id="R8e72daa299894125" /><Relationship Type="http://schemas.openxmlformats.org/officeDocument/2006/relationships/worksheet" Target="/xl/worksheets/sheet2.xml" Id="R3412db6e34414322" /><Relationship Type="http://schemas.openxmlformats.org/officeDocument/2006/relationships/worksheet" Target="/xl/worksheets/sheet3.xml" Id="Rcf1e37d5c7244923" /><Relationship Type="http://schemas.openxmlformats.org/officeDocument/2006/relationships/worksheet" Target="/xl/worksheets/sheet4.xml" Id="R33c3fb6fe9c148f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69efa0401d141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Risks by Category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Risks</c:v>
          </c:tx>
          <c:cat>
            <c:strRef>
              <c:f>'KRI Dashboard'!$A$17:$A$31</c:f>
              <c:strCache>
                <c:ptCount val="0"/>
              </c:strCache>
            </c:strRef>
          </c:cat>
          <c:val>
            <c:numRef>
              <c:f>'KRI Dashboard'!$B$17:$B$31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69efa0401d141b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iskRegisterTable" displayName="RiskRegisterTable" ref="A1:P16" headerRowCount="1" totalsRowCount="0" totalsRowShown="0">
  <x:tableColumns count="16">
    <x:tableColumn id="1" name="Risk ID"/>
    <x:tableColumn id="2" name="Category"/>
    <x:tableColumn id="3" name="Asset / Process"/>
    <x:tableColumn id="4" name="Risk Statement"/>
    <x:tableColumn id="5" name="Likelihood (1-5)"/>
    <x:tableColumn id="6" name="Impact (1-5)"/>
    <x:tableColumn id="7" name="Inherent Risk"/>
    <x:tableColumn id="8" name="Treatment"/>
    <x:tableColumn id="9" name="Existing Controls"/>
    <x:tableColumn id="10" name="Residual Likelihood"/>
    <x:tableColumn id="11" name="Residual Impact"/>
    <x:tableColumn id="12" name="Residual Risk"/>
    <x:tableColumn id="13" name="Risk Owner"/>
    <x:tableColumn id="14" name="Target Date"/>
    <x:tableColumn id="15" name="Status"/>
    <x:tableColumn id="16" name="KR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422c3b95ff45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2831fd4de8874897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>
      <x:c r="A1" s="59" t="str">
        <x:v>GRC Portfolio — Cyber Risk Register &amp; Dashboard</x:v>
      </x:c>
      <x:c r="B1" s="59"/>
      <x:c r="C1" s="59"/>
      <x:c r="D1" s="59"/>
      <x:c r="E1" s="59"/>
      <x:c r="F1" s="59"/>
      <x:c r="G1" s="59"/>
      <x:c r="H1" s="59"/>
    </x:row>
    <x:row r="3">
      <x:c r="A3" s="62" t="str">
        <x:v>Project Status</x:v>
      </x:c>
      <x:c r="B3" s="31" t="str">
        <x:v>Completed — Simulated</x:v>
      </x:c>
    </x:row>
    <x:row r="4">
      <x:c r="A4" s="62" t="str">
        <x:v>Organization</x:v>
      </x:c>
      <x:c r="B4" s="31" t="str">
        <x:v>Northstar Cloud Services Pvt. Ltd.</x:v>
      </x:c>
    </x:row>
    <x:row r="5">
      <x:c r="A5" s="62" t="str">
        <x:v>Assessment Period</x:v>
      </x:c>
      <x:c r="B5" s="31" t="str">
        <x:v>Q3 2026</x:v>
      </x:c>
    </x:row>
    <x:row r="6">
      <x:c r="A6" s="62" t="str">
        <x:v>Method</x:v>
      </x:c>
      <x:c r="B6" s="31" t="str">
        <x:v>Likelihood × Impact</x:v>
      </x:c>
    </x:row>
    <x:row r="7">
      <x:c r="A7" s="62" t="str">
        <x:v>Primary Tool</x:v>
      </x:c>
      <x:c r="B7" s="31" t="str">
        <x:v>Microsoft Excel / GRC reporting</x:v>
      </x:c>
    </x:row>
    <x:row r="9">
      <x:c r="A9" s="27" t="str">
        <x:v>What this workbook demonstrates</x:v>
      </x:c>
      <x:c r="B9" s="27"/>
      <x:c r="C9" s="27"/>
      <x:c r="D9" s="27"/>
      <x:c r="E9" s="27"/>
      <x:c r="F9" s="27"/>
      <x:c r="G9" s="27"/>
      <x:c r="H9" s="27"/>
    </x:row>
    <x:row r="10">
      <x:c r="A10" s="37" t="str">
        <x:v>Risk identification, likelihood/impact scoring, inherent vs residual risk, treatment decisions, risk ownership, KRIs, status tracking and management-level reporting.</x:v>
      </x:c>
      <x:c r="B10" s="37"/>
      <x:c r="C10" s="37"/>
      <x:c r="D10" s="37"/>
      <x:c r="E10" s="37"/>
      <x:c r="F10" s="37"/>
      <x:c r="G10" s="37"/>
      <x:c r="H10" s="37"/>
    </x:row>
    <x:row r="11">
      <x:c r="A11" s="37"/>
      <x:c r="B11" s="37"/>
      <x:c r="C11" s="37"/>
      <x:c r="D11" s="37"/>
      <x:c r="E11" s="37"/>
      <x:c r="F11" s="37"/>
      <x:c r="G11" s="37"/>
      <x:c r="H11" s="37"/>
    </x:row>
    <x:row r="12">
      <x:c r="A12" s="37"/>
      <x:c r="B12" s="37"/>
      <x:c r="C12" s="37"/>
      <x:c r="D12" s="37"/>
      <x:c r="E12" s="37"/>
      <x:c r="F12" s="37"/>
      <x:c r="G12" s="37"/>
      <x:c r="H12" s="37"/>
    </x:row>
    <x:row r="13">
      <x:c r="A13" s="37"/>
      <x:c r="B13" s="37"/>
      <x:c r="C13" s="37"/>
      <x:c r="D13" s="37"/>
      <x:c r="E13" s="37"/>
      <x:c r="F13" s="37"/>
      <x:c r="G13" s="37"/>
      <x:c r="H13" s="37"/>
    </x:row>
    <x:row r="15">
      <x:c r="A15" s="27" t="str">
        <x:v>Workbook structure</x:v>
      </x:c>
      <x:c r="B15" s="27"/>
      <x:c r="C15" s="27"/>
      <x:c r="D15" s="27"/>
      <x:c r="E15" s="27"/>
      <x:c r="F15" s="27"/>
      <x:c r="G15" s="27"/>
      <x:c r="H15" s="27"/>
    </x:row>
    <x:row r="16">
      <x:c r="A16" s="62" t="str">
        <x:v>Risk Register</x:v>
      </x:c>
      <x:c r="B16" s="31" t="str">
        <x:v>15 simulated risks with formulas and validation</x:v>
      </x:c>
    </x:row>
    <x:row r="17">
      <x:c r="A17" s="62" t="str">
        <x:v>Methodology</x:v>
      </x:c>
      <x:c r="B17" s="31" t="str">
        <x:v>Scoring logic and portfolio limitations</x:v>
      </x:c>
    </x:row>
    <x:row r="18">
      <x:c r="A18" s="62" t="str">
        <x:v>KRI Dashboard</x:v>
      </x:c>
      <x:c r="B18" s="31" t="str">
        <x:v>Executive summary, counts and category chart</x:v>
      </x:c>
    </x:row>
    <x:row r="19">
      <x:c r="A19" s="62" t="str">
        <x:v>Evidence</x:v>
      </x:c>
      <x:c r="B19" s="31" t="str">
        <x:v>Risk owners, dates and KRI indicators embedded in register</x:v>
      </x:c>
    </x:row>
    <x:row r="20">
      <x:c r="A20" s="62" t="str">
        <x:v>Next Step</x:v>
      </x:c>
      <x:c r="B20" s="31" t="str">
        <x:v>Add sanitized screenshots to the GitHub project README</x:v>
      </x:c>
    </x:row>
  </x:sheetData>
  <x:mergeCells>
    <x:mergeCell ref="A1:H1"/>
    <x:mergeCell ref="A9:H9"/>
    <x:mergeCell ref="A10:H13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2" hidden="0" customWidth="1"/>
    <x:col min="3" max="3" width="24" hidden="0" customWidth="1"/>
    <x:col min="4" max="4" width="58" hidden="0" customWidth="1"/>
    <x:col min="5" max="5" width="13" hidden="0" customWidth="1"/>
    <x:col min="6" max="6" width="11" hidden="0" customWidth="1"/>
    <x:col min="7" max="7" width="13" hidden="0" customWidth="1"/>
    <x:col min="8" max="8" width="14" hidden="0" customWidth="1"/>
    <x:col min="9" max="9" width="44" hidden="0" customWidth="1"/>
    <x:col min="10" max="10" width="16" hidden="0" customWidth="1"/>
    <x:col min="11" max="11" width="15" hidden="0" customWidth="1"/>
    <x:col min="12" max="12" width="13" hidden="0" customWidth="1"/>
    <x:col min="13" max="13" width="22" hidden="0" customWidth="1"/>
    <x:col min="14" max="14" width="13" hidden="0" customWidth="1"/>
    <x:col min="15" max="15" width="15" hidden="0" customWidth="1"/>
    <x:col min="16" max="16" width="32" hidden="0" customWidth="1"/>
  </x:cols>
  <x:sheetData>
    <x:row r="1" ht="34" customHeight="1">
      <x:c r="A1" s="6" t="str">
        <x:v>Risk ID</x:v>
      </x:c>
      <x:c r="B1" s="6" t="str">
        <x:v>Category</x:v>
      </x:c>
      <x:c r="C1" s="6" t="str">
        <x:v>Asset / Process</x:v>
      </x:c>
      <x:c r="D1" s="6" t="str">
        <x:v>Risk Statement</x:v>
      </x:c>
      <x:c r="E1" s="6" t="str">
        <x:v>Likelihood (1-5)</x:v>
      </x:c>
      <x:c r="F1" s="6" t="str">
        <x:v>Impact (1-5)</x:v>
      </x:c>
      <x:c r="G1" s="6" t="str">
        <x:v>Inherent Risk</x:v>
      </x:c>
      <x:c r="H1" s="6" t="str">
        <x:v>Treatment</x:v>
      </x:c>
      <x:c r="I1" s="6" t="str">
        <x:v>Existing Controls</x:v>
      </x:c>
      <x:c r="J1" s="6" t="str">
        <x:v>Residual Likelihood</x:v>
      </x:c>
      <x:c r="K1" s="6" t="str">
        <x:v>Residual Impact</x:v>
      </x:c>
      <x:c r="L1" s="6" t="str">
        <x:v>Residual Risk</x:v>
      </x:c>
      <x:c r="M1" s="6" t="str">
        <x:v>Risk Owner</x:v>
      </x:c>
      <x:c r="N1" s="6" t="str">
        <x:v>Target Date</x:v>
      </x:c>
      <x:c r="O1" s="6" t="str">
        <x:v>Status</x:v>
      </x:c>
      <x:c r="P1" s="6" t="str">
        <x:v>KRI</x:v>
      </x:c>
    </x:row>
    <x:row r="2" ht="48" customHeight="1">
      <x:c r="A2" s="14" t="str">
        <x:v>R-001</x:v>
      </x:c>
      <x:c r="B2" s="14" t="str">
        <x:v>IAM</x:v>
      </x:c>
      <x:c r="C2" s="14" t="str">
        <x:v>Privileged accounts</x:v>
      </x:c>
      <x:c r="D2" s="14" t="str">
        <x:v>Compromised privileged credentials could allow unauthorized administrative access</x:v>
      </x:c>
      <x:c r="E2" s="16" t="n">
        <x:v>4</x:v>
      </x:c>
      <x:c r="F2" s="16" t="n">
        <x:v>5</x:v>
      </x:c>
      <x:c r="G2" s="16" t="n">
        <x:f>E2*F2</x:f>
        <x:v>20</x:v>
      </x:c>
      <x:c r="H2" s="14" t="str">
        <x:v>Mitigate</x:v>
      </x:c>
      <x:c r="I2" s="14" t="str">
        <x:v>MFA; privileged-role approval; logging</x:v>
      </x:c>
      <x:c r="J2" s="16" t="n">
        <x:v>2</x:v>
      </x:c>
      <x:c r="K2" s="16" t="n">
        <x:v>4</x:v>
      </x:c>
      <x:c r="L2" s="16" t="n">
        <x:f>J2*K2</x:f>
        <x:v>8</x:v>
      </x:c>
      <x:c r="M2" s="14" t="str">
        <x:v>IT Security Lead</x:v>
      </x:c>
      <x:c r="N2" s="18" t="str">
        <x:v>2026-10-15</x:v>
      </x:c>
      <x:c r="O2" s="14" t="str">
        <x:v>In Progress</x:v>
      </x:c>
      <x:c r="P2" s="14" t="str">
        <x:v>Privileged accounts without recent review</x:v>
      </x:c>
    </x:row>
    <x:row r="3" ht="48" customHeight="1">
      <x:c r="A3" s="14" t="str">
        <x:v>R-002</x:v>
      </x:c>
      <x:c r="B3" s="14" t="str">
        <x:v>Vulnerability Management</x:v>
      </x:c>
      <x:c r="C3" s="14" t="str">
        <x:v>Internet-facing systems</x:v>
      </x:c>
      <x:c r="D3" s="14" t="str">
        <x:v>Unpatched critical vulnerabilities could be exploited against production services</x:v>
      </x:c>
      <x:c r="E3" s="16" t="n">
        <x:v>4</x:v>
      </x:c>
      <x:c r="F3" s="16" t="n">
        <x:v>5</x:v>
      </x:c>
      <x:c r="G3" s="16" t="n">
        <x:f>E3*F3</x:f>
        <x:v>20</x:v>
      </x:c>
      <x:c r="H3" s="14" t="str">
        <x:v>Mitigate</x:v>
      </x:c>
      <x:c r="I3" s="14" t="str">
        <x:v>Vulnerability scanning; patch process</x:v>
      </x:c>
      <x:c r="J3" s="16" t="n">
        <x:v>2</x:v>
      </x:c>
      <x:c r="K3" s="16" t="n">
        <x:v>4</x:v>
      </x:c>
      <x:c r="L3" s="16" t="n">
        <x:f>J3*K3</x:f>
        <x:v>8</x:v>
      </x:c>
      <x:c r="M3" s="14" t="str">
        <x:v>Infrastructure Lead</x:v>
      </x:c>
      <x:c r="N3" s="18" t="str">
        <x:v>2026-10-20</x:v>
      </x:c>
      <x:c r="O3" s="14" t="str">
        <x:v>In Progress</x:v>
      </x:c>
      <x:c r="P3" s="14" t="str">
        <x:v>Critical vulnerabilities past SLA</x:v>
      </x:c>
    </x:row>
    <x:row r="4" ht="48" customHeight="1">
      <x:c r="A4" s="14" t="str">
        <x:v>R-003</x:v>
      </x:c>
      <x:c r="B4" s="14" t="str">
        <x:v>Cloud Security</x:v>
      </x:c>
      <x:c r="C4" s="14" t="str">
        <x:v>Cloud configuration</x:v>
      </x:c>
      <x:c r="D4" s="14" t="str">
        <x:v>Excessive cloud permissions or insecure configuration could expose customer resources</x:v>
      </x:c>
      <x:c r="E4" s="16" t="n">
        <x:v>4</x:v>
      </x:c>
      <x:c r="F4" s="16" t="n">
        <x:v>5</x:v>
      </x:c>
      <x:c r="G4" s="16" t="n">
        <x:f>E4*F4</x:f>
        <x:v>20</x:v>
      </x:c>
      <x:c r="H4" s="14" t="str">
        <x:v>Mitigate</x:v>
      </x:c>
      <x:c r="I4" s="14" t="str">
        <x:v>IAM policies; configuration monitoring</x:v>
      </x:c>
      <x:c r="J4" s="16" t="n">
        <x:v>2</x:v>
      </x:c>
      <x:c r="K4" s="16" t="n">
        <x:v>4</x:v>
      </x:c>
      <x:c r="L4" s="16" t="n">
        <x:f>J4*K4</x:f>
        <x:v>8</x:v>
      </x:c>
      <x:c r="M4" s="14" t="str">
        <x:v>Cloud Security Lead</x:v>
      </x:c>
      <x:c r="N4" s="18" t="str">
        <x:v>2026-10-25</x:v>
      </x:c>
      <x:c r="O4" s="14" t="str">
        <x:v>Open</x:v>
      </x:c>
      <x:c r="P4" s="14" t="str">
        <x:v>High-risk configuration findings</x:v>
      </x:c>
    </x:row>
    <x:row r="5" ht="48" customHeight="1">
      <x:c r="A5" s="14" t="str">
        <x:v>R-004</x:v>
      </x:c>
      <x:c r="B5" s="14" t="str">
        <x:v>Logging &amp; Monitoring</x:v>
      </x:c>
      <x:c r="C5" s="14" t="str">
        <x:v>Security telemetry</x:v>
      </x:c>
      <x:c r="D5" s="14" t="str">
        <x:v>Insufficient centralized logging could delay detection and investigation of security events</x:v>
      </x:c>
      <x:c r="E5" s="16" t="n">
        <x:v>3</x:v>
      </x:c>
      <x:c r="F5" s="16" t="n">
        <x:v>4</x:v>
      </x:c>
      <x:c r="G5" s="16" t="n">
        <x:f>E5*F5</x:f>
        <x:v>12</x:v>
      </x:c>
      <x:c r="H5" s="14" t="str">
        <x:v>Mitigate</x:v>
      </x:c>
      <x:c r="I5" s="14" t="str">
        <x:v>Central log collection; alerting</x:v>
      </x:c>
      <x:c r="J5" s="16" t="n">
        <x:v>2</x:v>
      </x:c>
      <x:c r="K5" s="16" t="n">
        <x:v>3</x:v>
      </x:c>
      <x:c r="L5" s="16" t="n">
        <x:f>J5*K5</x:f>
        <x:v>6</x:v>
      </x:c>
      <x:c r="M5" s="14" t="str">
        <x:v>SOC Lead</x:v>
      </x:c>
      <x:c r="N5" s="18" t="str">
        <x:v>2026-11-05</x:v>
      </x:c>
      <x:c r="O5" s="14" t="str">
        <x:v>Open</x:v>
      </x:c>
      <x:c r="P5" s="14" t="str">
        <x:v>Log-source coverage percentage</x:v>
      </x:c>
    </x:row>
    <x:row r="6" ht="48" customHeight="1">
      <x:c r="A6" s="14" t="str">
        <x:v>R-005</x:v>
      </x:c>
      <x:c r="B6" s="14" t="str">
        <x:v>Third Party</x:v>
      </x:c>
      <x:c r="C6" s="14" t="str">
        <x:v>Critical SaaS vendors</x:v>
      </x:c>
      <x:c r="D6" s="14" t="str">
        <x:v>A supplier security failure could affect confidentiality or availability of business data</x:v>
      </x:c>
      <x:c r="E6" s="16" t="n">
        <x:v>3</x:v>
      </x:c>
      <x:c r="F6" s="16" t="n">
        <x:v>5</x:v>
      </x:c>
      <x:c r="G6" s="16" t="n">
        <x:f>E6*F6</x:f>
        <x:v>15</x:v>
      </x:c>
      <x:c r="H6" s="14" t="str">
        <x:v>Mitigate</x:v>
      </x:c>
      <x:c r="I6" s="14" t="str">
        <x:v>Vendor questionnaire; contract clauses</x:v>
      </x:c>
      <x:c r="J6" s="16" t="n">
        <x:v>2</x:v>
      </x:c>
      <x:c r="K6" s="16" t="n">
        <x:v>4</x:v>
      </x:c>
      <x:c r="L6" s="16" t="n">
        <x:f>J6*K6</x:f>
        <x:v>8</x:v>
      </x:c>
      <x:c r="M6" s="14" t="str">
        <x:v>Procurement + GRC</x:v>
      </x:c>
      <x:c r="N6" s="18" t="str">
        <x:v>2026-11-10</x:v>
      </x:c>
      <x:c r="O6" s="14" t="str">
        <x:v>Open</x:v>
      </x:c>
      <x:c r="P6" s="14" t="str">
        <x:v>Critical vendors with overdue review</x:v>
      </x:c>
    </x:row>
    <x:row r="7" ht="48" customHeight="1">
      <x:c r="A7" s="14" t="str">
        <x:v>R-006</x:v>
      </x:c>
      <x:c r="B7" s="14" t="str">
        <x:v>Data Protection</x:v>
      </x:c>
      <x:c r="C7" s="14" t="str">
        <x:v>Customer data</x:v>
      </x:c>
      <x:c r="D7" s="14" t="str">
        <x:v>Unauthorized disclosure of sensitive customer data could create business and regulatory impact</x:v>
      </x:c>
      <x:c r="E7" s="16" t="n">
        <x:v>3</x:v>
      </x:c>
      <x:c r="F7" s="16" t="n">
        <x:v>5</x:v>
      </x:c>
      <x:c r="G7" s="16" t="n">
        <x:f>E7*F7</x:f>
        <x:v>15</x:v>
      </x:c>
      <x:c r="H7" s="14" t="str">
        <x:v>Mitigate</x:v>
      </x:c>
      <x:c r="I7" s="14" t="str">
        <x:v>Access control; encryption; classification</x:v>
      </x:c>
      <x:c r="J7" s="16" t="n">
        <x:v>2</x:v>
      </x:c>
      <x:c r="K7" s="16" t="n">
        <x:v>4</x:v>
      </x:c>
      <x:c r="L7" s="16" t="n">
        <x:f>J7*K7</x:f>
        <x:v>8</x:v>
      </x:c>
      <x:c r="M7" s="14" t="str">
        <x:v>Data Protection Owner</x:v>
      </x:c>
      <x:c r="N7" s="18" t="str">
        <x:v>2026-11-15</x:v>
      </x:c>
      <x:c r="O7" s="14" t="str">
        <x:v>Open</x:v>
      </x:c>
      <x:c r="P7" s="14" t="str">
        <x:v>Data-access exceptions</x:v>
      </x:c>
    </x:row>
    <x:row r="8" ht="48" customHeight="1">
      <x:c r="A8" s="14" t="str">
        <x:v>R-007</x:v>
      </x:c>
      <x:c r="B8" s="14" t="str">
        <x:v>Business Continuity</x:v>
      </x:c>
      <x:c r="C8" s="14" t="str">
        <x:v>Production platform</x:v>
      </x:c>
      <x:c r="D8" s="14" t="str">
        <x:v>Failure of recovery capabilities could extend a service outage beyond agreed objectives</x:v>
      </x:c>
      <x:c r="E8" s="16" t="n">
        <x:v>3</x:v>
      </x:c>
      <x:c r="F8" s="16" t="n">
        <x:v>5</x:v>
      </x:c>
      <x:c r="G8" s="16" t="n">
        <x:f>E8*F8</x:f>
        <x:v>15</x:v>
      </x:c>
      <x:c r="H8" s="14" t="str">
        <x:v>Mitigate</x:v>
      </x:c>
      <x:c r="I8" s="14" t="str">
        <x:v>Backups; recovery procedures</x:v>
      </x:c>
      <x:c r="J8" s="16" t="n">
        <x:v>2</x:v>
      </x:c>
      <x:c r="K8" s="16" t="n">
        <x:v>3</x:v>
      </x:c>
      <x:c r="L8" s="16" t="n">
        <x:f>J8*K8</x:f>
        <x:v>6</x:v>
      </x:c>
      <x:c r="M8" s="14" t="str">
        <x:v>IT Operations Lead</x:v>
      </x:c>
      <x:c r="N8" s="18" t="str">
        <x:v>2026-11-20</x:v>
      </x:c>
      <x:c r="O8" s="14" t="str">
        <x:v>Open</x:v>
      </x:c>
      <x:c r="P8" s="14" t="str">
        <x:v>Successful restore-test rate</x:v>
      </x:c>
    </x:row>
    <x:row r="9" ht="48" customHeight="1">
      <x:c r="A9" s="14" t="str">
        <x:v>R-008</x:v>
      </x:c>
      <x:c r="B9" s="14" t="str">
        <x:v>Endpoint Security</x:v>
      </x:c>
      <x:c r="C9" s="14" t="str">
        <x:v>Employee endpoints</x:v>
      </x:c>
      <x:c r="D9" s="14" t="str">
        <x:v>Malware infection on unmanaged or poorly protected endpoints could compromise corporate systems</x:v>
      </x:c>
      <x:c r="E9" s="16" t="n">
        <x:v>3</x:v>
      </x:c>
      <x:c r="F9" s="16" t="n">
        <x:v>4</x:v>
      </x:c>
      <x:c r="G9" s="16" t="n">
        <x:f>E9*F9</x:f>
        <x:v>12</x:v>
      </x:c>
      <x:c r="H9" s="14" t="str">
        <x:v>Mitigate</x:v>
      </x:c>
      <x:c r="I9" s="14" t="str">
        <x:v>Endpoint protection; device management</x:v>
      </x:c>
      <x:c r="J9" s="16" t="n">
        <x:v>2</x:v>
      </x:c>
      <x:c r="K9" s="16" t="n">
        <x:v>3</x:v>
      </x:c>
      <x:c r="L9" s="16" t="n">
        <x:f>J9*K9</x:f>
        <x:v>6</x:v>
      </x:c>
      <x:c r="M9" s="14" t="str">
        <x:v>Endpoint Lead</x:v>
      </x:c>
      <x:c r="N9" s="18" t="str">
        <x:v>2026-10-30</x:v>
      </x:c>
      <x:c r="O9" s="14" t="str">
        <x:v>Open</x:v>
      </x:c>
      <x:c r="P9" s="14" t="str">
        <x:v>Endpoint compliance rate</x:v>
      </x:c>
    </x:row>
    <x:row r="10" ht="48" customHeight="1">
      <x:c r="A10" s="14" t="str">
        <x:v>R-009</x:v>
      </x:c>
      <x:c r="B10" s="14" t="str">
        <x:v>Change Management</x:v>
      </x:c>
      <x:c r="C10" s="14" t="str">
        <x:v>Production changes</x:v>
      </x:c>
      <x:c r="D10" s="14" t="str">
        <x:v>Unauthorized or insufficiently tested changes could introduce security or availability issues</x:v>
      </x:c>
      <x:c r="E10" s="16" t="n">
        <x:v>3</x:v>
      </x:c>
      <x:c r="F10" s="16" t="n">
        <x:v>4</x:v>
      </x:c>
      <x:c r="G10" s="16" t="n">
        <x:f>E10*F10</x:f>
        <x:v>12</x:v>
      </x:c>
      <x:c r="H10" s="14" t="str">
        <x:v>Mitigate</x:v>
      </x:c>
      <x:c r="I10" s="14" t="str">
        <x:v>Change approval; deployment workflow</x:v>
      </x:c>
      <x:c r="J10" s="16" t="n">
        <x:v>2</x:v>
      </x:c>
      <x:c r="K10" s="16" t="n">
        <x:v>3</x:v>
      </x:c>
      <x:c r="L10" s="16" t="n">
        <x:f>J10*K10</x:f>
        <x:v>6</x:v>
      </x:c>
      <x:c r="M10" s="14" t="str">
        <x:v>Engineering Manager</x:v>
      </x:c>
      <x:c r="N10" s="18" t="str">
        <x:v>2026-11-01</x:v>
      </x:c>
      <x:c r="O10" s="14" t="str">
        <x:v>Open</x:v>
      </x:c>
      <x:c r="P10" s="14" t="str">
        <x:v>Emergency changes as percentage of total</x:v>
      </x:c>
    </x:row>
    <x:row r="11" ht="48" customHeight="1">
      <x:c r="A11" s="14" t="str">
        <x:v>R-010</x:v>
      </x:c>
      <x:c r="B11" s="14" t="str">
        <x:v>Incident Response</x:v>
      </x:c>
      <x:c r="C11" s="14" t="str">
        <x:v>Security incidents</x:v>
      </x:c>
      <x:c r="D11" s="14" t="str">
        <x:v>Unclear incident roles and escalation paths could increase response time and impact</x:v>
      </x:c>
      <x:c r="E11" s="16" t="n">
        <x:v>3</x:v>
      </x:c>
      <x:c r="F11" s="16" t="n">
        <x:v>4</x:v>
      </x:c>
      <x:c r="G11" s="16" t="n">
        <x:f>E11*F11</x:f>
        <x:v>12</x:v>
      </x:c>
      <x:c r="H11" s="14" t="str">
        <x:v>Mitigate</x:v>
      </x:c>
      <x:c r="I11" s="14" t="str">
        <x:v>Incident procedure; contact list</x:v>
      </x:c>
      <x:c r="J11" s="16" t="n">
        <x:v>2</x:v>
      </x:c>
      <x:c r="K11" s="16" t="n">
        <x:v>3</x:v>
      </x:c>
      <x:c r="L11" s="16" t="n">
        <x:f>J11*K11</x:f>
        <x:v>6</x:v>
      </x:c>
      <x:c r="M11" s="14" t="str">
        <x:v>SOC Lead</x:v>
      </x:c>
      <x:c r="N11" s="18" t="str">
        <x:v>2026-10-28</x:v>
      </x:c>
      <x:c r="O11" s="14" t="str">
        <x:v>Open</x:v>
      </x:c>
      <x:c r="P11" s="14" t="str">
        <x:v>Mean time to acknowledge</x:v>
      </x:c>
    </x:row>
    <x:row r="12" ht="48" customHeight="1">
      <x:c r="A12" s="14" t="str">
        <x:v>R-011</x:v>
      </x:c>
      <x:c r="B12" s="14" t="str">
        <x:v>Security Awareness</x:v>
      </x:c>
      <x:c r="C12" s="14" t="str">
        <x:v>Employees</x:v>
      </x:c>
      <x:c r="D12" s="14" t="str">
        <x:v>Phishing or social-engineering attacks could lead to credential compromise or data exposure</x:v>
      </x:c>
      <x:c r="E12" s="16" t="n">
        <x:v>4</x:v>
      </x:c>
      <x:c r="F12" s="16" t="n">
        <x:v>3</x:v>
      </x:c>
      <x:c r="G12" s="16" t="n">
        <x:f>E12*F12</x:f>
        <x:v>12</x:v>
      </x:c>
      <x:c r="H12" s="14" t="str">
        <x:v>Mitigate</x:v>
      </x:c>
      <x:c r="I12" s="14" t="str">
        <x:v>Security awareness training; phishing simulations</x:v>
      </x:c>
      <x:c r="J12" s="16" t="n">
        <x:v>2</x:v>
      </x:c>
      <x:c r="K12" s="16" t="n">
        <x:v>2</x:v>
      </x:c>
      <x:c r="L12" s="16" t="n">
        <x:f>J12*K12</x:f>
        <x:v>4</x:v>
      </x:c>
      <x:c r="M12" s="14" t="str">
        <x:v>HR + Security</x:v>
      </x:c>
      <x:c r="N12" s="18" t="str">
        <x:v>2026-12-01</x:v>
      </x:c>
      <x:c r="O12" s="14" t="str">
        <x:v>Open</x:v>
      </x:c>
      <x:c r="P12" s="14" t="str">
        <x:v>Phishing simulation failure rate</x:v>
      </x:c>
    </x:row>
    <x:row r="13" ht="48" customHeight="1">
      <x:c r="A13" s="14" t="str">
        <x:v>R-012</x:v>
      </x:c>
      <x:c r="B13" s="14" t="str">
        <x:v>Asset Management</x:v>
      </x:c>
      <x:c r="C13" s="14" t="str">
        <x:v>Technology inventory</x:v>
      </x:c>
      <x:c r="D13" s="14" t="str">
        <x:v>Incomplete asset inventory could cause security controls to be missed or applied inconsistently</x:v>
      </x:c>
      <x:c r="E13" s="16" t="n">
        <x:v>3</x:v>
      </x:c>
      <x:c r="F13" s="16" t="n">
        <x:v>4</x:v>
      </x:c>
      <x:c r="G13" s="16" t="n">
        <x:f>E13*F13</x:f>
        <x:v>12</x:v>
      </x:c>
      <x:c r="H13" s="14" t="str">
        <x:v>Mitigate</x:v>
      </x:c>
      <x:c r="I13" s="14" t="str">
        <x:v>Asset register; onboarding process</x:v>
      </x:c>
      <x:c r="J13" s="16" t="n">
        <x:v>2</x:v>
      </x:c>
      <x:c r="K13" s="16" t="n">
        <x:v>3</x:v>
      </x:c>
      <x:c r="L13" s="16" t="n">
        <x:f>J13*K13</x:f>
        <x:v>6</x:v>
      </x:c>
      <x:c r="M13" s="14" t="str">
        <x:v>IT Operations Lead</x:v>
      </x:c>
      <x:c r="N13" s="18" t="str">
        <x:v>2026-11-12</x:v>
      </x:c>
      <x:c r="O13" s="14" t="str">
        <x:v>Open</x:v>
      </x:c>
      <x:c r="P13" s="14" t="str">
        <x:v>Assets without owner</x:v>
      </x:c>
    </x:row>
    <x:row r="14" ht="48" customHeight="1">
      <x:c r="A14" s="14" t="str">
        <x:v>R-013</x:v>
      </x:c>
      <x:c r="B14" s="14" t="str">
        <x:v>Backup &amp; Recovery</x:v>
      </x:c>
      <x:c r="C14" s="14" t="str">
        <x:v>Backups</x:v>
      </x:c>
      <x:c r="D14" s="14" t="str">
        <x:v>Backup failure or corruption could reduce the ability to recover critical data</x:v>
      </x:c>
      <x:c r="E14" s="16" t="n">
        <x:v>3</x:v>
      </x:c>
      <x:c r="F14" s="16" t="n">
        <x:v>5</x:v>
      </x:c>
      <x:c r="G14" s="16" t="n">
        <x:f>E14*F14</x:f>
        <x:v>15</x:v>
      </x:c>
      <x:c r="H14" s="14" t="str">
        <x:v>Mitigate</x:v>
      </x:c>
      <x:c r="I14" s="14" t="str">
        <x:v>Backup monitoring; retention controls</x:v>
      </x:c>
      <x:c r="J14" s="16" t="n">
        <x:v>2</x:v>
      </x:c>
      <x:c r="K14" s="16" t="n">
        <x:v>3</x:v>
      </x:c>
      <x:c r="L14" s="16" t="n">
        <x:f>J14*K14</x:f>
        <x:v>6</x:v>
      </x:c>
      <x:c r="M14" s="14" t="str">
        <x:v>Infrastructure Lead</x:v>
      </x:c>
      <x:c r="N14" s="18" t="str">
        <x:v>2026-10-22</x:v>
      </x:c>
      <x:c r="O14" s="14" t="str">
        <x:v>In Progress</x:v>
      </x:c>
      <x:c r="P14" s="14" t="str">
        <x:v>Backup job failure rate</x:v>
      </x:c>
    </x:row>
    <x:row r="15" ht="48" customHeight="1">
      <x:c r="A15" s="14" t="str">
        <x:v>R-014</x:v>
      </x:c>
      <x:c r="B15" s="14" t="str">
        <x:v>Access Governance</x:v>
      </x:c>
      <x:c r="C15" s="14" t="str">
        <x:v>User access</x:v>
      </x:c>
      <x:c r="D15" s="14" t="str">
        <x:v>Excessive or stale user access could allow unauthorized access to business applications</x:v>
      </x:c>
      <x:c r="E15" s="16" t="n">
        <x:v>4</x:v>
      </x:c>
      <x:c r="F15" s="16" t="n">
        <x:v>4</x:v>
      </x:c>
      <x:c r="G15" s="16" t="n">
        <x:f>E15*F15</x:f>
        <x:v>16</x:v>
      </x:c>
      <x:c r="H15" s="14" t="str">
        <x:v>Mitigate</x:v>
      </x:c>
      <x:c r="I15" s="14" t="str">
        <x:v>Joiner/mover/leaver process; periodic review</x:v>
      </x:c>
      <x:c r="J15" s="16" t="n">
        <x:v>2</x:v>
      </x:c>
      <x:c r="K15" s="16" t="n">
        <x:v>3</x:v>
      </x:c>
      <x:c r="L15" s="16" t="n">
        <x:f>J15*K15</x:f>
        <x:v>6</x:v>
      </x:c>
      <x:c r="M15" s="14" t="str">
        <x:v>IAM Lead</x:v>
      </x:c>
      <x:c r="N15" s="18" t="str">
        <x:v>2026-10-18</x:v>
      </x:c>
      <x:c r="O15" s="14" t="str">
        <x:v>In Progress</x:v>
      </x:c>
      <x:c r="P15" s="14" t="str">
        <x:v>Overdue access reviews</x:v>
      </x:c>
    </x:row>
    <x:row r="16" ht="48" customHeight="1">
      <x:c r="A16" s="14" t="str">
        <x:v>R-015</x:v>
      </x:c>
      <x:c r="B16" s="14" t="str">
        <x:v>Policy &amp; Governance</x:v>
      </x:c>
      <x:c r="C16" s="14" t="str">
        <x:v>Security governance</x:v>
      </x:c>
      <x:c r="D16" s="14" t="str">
        <x:v>Policies that are outdated or not linked to control ownership could weaken consistent security governance</x:v>
      </x:c>
      <x:c r="E16" s="16" t="n">
        <x:v>3</x:v>
      </x:c>
      <x:c r="F16" s="16" t="n">
        <x:v>3</x:v>
      </x:c>
      <x:c r="G16" s="16" t="n">
        <x:f>E16*F16</x:f>
        <x:v>9</x:v>
      </x:c>
      <x:c r="H16" s="14" t="str">
        <x:v>Mitigate</x:v>
      </x:c>
      <x:c r="I16" s="14" t="str">
        <x:v>Policy library; annual review</x:v>
      </x:c>
      <x:c r="J16" s="16" t="n">
        <x:v>2</x:v>
      </x:c>
      <x:c r="K16" s="16" t="n">
        <x:v>2</x:v>
      </x:c>
      <x:c r="L16" s="16" t="n">
        <x:f>J16*K16</x:f>
        <x:v>4</x:v>
      </x:c>
      <x:c r="M16" s="14" t="str">
        <x:v>GRC Lead</x:v>
      </x:c>
      <x:c r="N16" s="18" t="str">
        <x:v>2026-12-15</x:v>
      </x:c>
      <x:c r="O16" s="14" t="str">
        <x:v>Open</x:v>
      </x:c>
      <x:c r="P16" s="14" t="str">
        <x:v>Policies overdue for review</x:v>
      </x:c>
    </x:row>
  </x:sheetData>
  <x:conditionalFormatting sqref="G2:G16">
    <x:cfRule type="colorScale" priority="1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L2:L16">
    <x:cfRule type="colorScale" priority="2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conditionalFormatting sqref="O2:O16">
    <x:cfRule type="expression" dxfId="0" priority="3">
      <x:formula>O2="In Progress"</x:formula>
    </x:cfRule>
    <x:cfRule type="expression" dxfId="1" priority="4">
      <x:formula>O2="Open"</x:formula>
    </x:cfRule>
  </x:conditionalFormatting>
  <x:dataValidations count="2">
    <x:dataValidation type="list" sqref="O2:O16">
      <x:formula1>"Open,In Progress,Closed,Accepted,Monitoring"</x:formula1>
    </x:dataValidation>
    <x:dataValidation type="list" sqref="H2:H16">
      <x:formula1>"Mitigate,Transfer,Avoid,Accept"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d422c3b95ff450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4" hidden="0" customWidth="1"/>
    <x:col min="4" max="4" width="15" hidden="0" customWidth="1"/>
    <x:col min="5" max="5" width="15" hidden="0" customWidth="1"/>
    <x:col min="6" max="6" width="15" hidden="0" customWidth="1"/>
  </x:cols>
  <x:sheetData>
    <x:row r="1">
      <x:c r="A1" s="34" t="str">
        <x:v>Cyber Risk Register — Methodology</x:v>
      </x:c>
      <x:c r="B1" s="34"/>
      <x:c r="C1" s="34"/>
      <x:c r="D1" s="34"/>
      <x:c r="E1" s="34"/>
      <x:c r="F1" s="34"/>
    </x:row>
    <x:row r="2">
      <x:c r="A2" s="35"/>
      <x:c r="B2" s="35"/>
      <x:c r="C2" s="35"/>
      <x:c r="D2" s="35"/>
      <x:c r="E2" s="35"/>
      <x:c r="F2" s="35"/>
    </x:row>
    <x:row r="3">
      <x:c r="A3" s="36" t="str">
        <x:v>Factor</x:v>
      </x:c>
      <x:c r="B3" s="36" t="str">
        <x:v>Scale</x:v>
      </x:c>
      <x:c r="C3" s="35"/>
      <x:c r="D3" s="35"/>
      <x:c r="E3" s="35"/>
      <x:c r="F3" s="35"/>
    </x:row>
    <x:row r="4">
      <x:c r="A4" s="35" t="str">
        <x:v>Likelihood 1</x:v>
      </x:c>
      <x:c r="B4" s="35" t="str">
        <x:v>Rare / unlikely scenario</x:v>
      </x:c>
      <x:c r="C4" s="35"/>
      <x:c r="D4" s="35"/>
      <x:c r="E4" s="35"/>
      <x:c r="F4" s="35"/>
    </x:row>
    <x:row r="5">
      <x:c r="A5" s="35" t="str">
        <x:v>Likelihood 3</x:v>
      </x:c>
      <x:c r="B5" s="35" t="str">
        <x:v>Possible / moderate likelihood</x:v>
      </x:c>
      <x:c r="C5" s="35"/>
      <x:c r="D5" s="35"/>
      <x:c r="E5" s="35"/>
      <x:c r="F5" s="35"/>
    </x:row>
    <x:row r="6">
      <x:c r="A6" s="35" t="str">
        <x:v>Likelihood 5</x:v>
      </x:c>
      <x:c r="B6" s="35" t="str">
        <x:v>Highly likely / recurring exposure</x:v>
      </x:c>
      <x:c r="C6" s="35"/>
      <x:c r="D6" s="35"/>
      <x:c r="E6" s="35"/>
      <x:c r="F6" s="35"/>
    </x:row>
    <x:row r="7">
      <x:c r="A7" s="35" t="str">
        <x:v>Impact 1</x:v>
      </x:c>
      <x:c r="B7" s="35" t="str">
        <x:v>Limited business or security impact</x:v>
      </x:c>
      <x:c r="C7" s="35"/>
      <x:c r="D7" s="35"/>
      <x:c r="E7" s="35"/>
      <x:c r="F7" s="35"/>
    </x:row>
    <x:row r="8">
      <x:c r="A8" s="35" t="str">
        <x:v>Impact 5</x:v>
      </x:c>
      <x:c r="B8" s="35" t="str">
        <x:v>Severe business, customer, legal or operational impact</x:v>
      </x:c>
      <x:c r="C8" s="35"/>
      <x:c r="D8" s="35"/>
      <x:c r="E8" s="35"/>
      <x:c r="F8" s="35"/>
    </x:row>
    <x:row r="9">
      <x:c r="A9" s="35"/>
      <x:c r="B9" s="35"/>
      <x:c r="C9" s="35"/>
      <x:c r="D9" s="35"/>
      <x:c r="E9" s="35"/>
      <x:c r="F9" s="35"/>
    </x:row>
    <x:row r="10">
      <x:c r="A10" s="36" t="str">
        <x:v>Score</x:v>
      </x:c>
      <x:c r="B10" s="36" t="str">
        <x:v>Illustrative Rating</x:v>
      </x:c>
      <x:c r="C10" s="36" t="str">
        <x:v>Treatment guidance</x:v>
      </x:c>
      <x:c r="D10" s="35"/>
      <x:c r="E10" s="35"/>
      <x:c r="F10" s="35"/>
    </x:row>
    <x:row r="11">
      <x:c r="A11" s="35" t="str">
        <x:v>1–4</x:v>
      </x:c>
      <x:c r="B11" s="35" t="str">
        <x:v>Low</x:v>
      </x:c>
      <x:c r="C11" s="35" t="str">
        <x:v>Monitor or address through normal operations</x:v>
      </x:c>
      <x:c r="D11" s="35"/>
      <x:c r="E11" s="35"/>
      <x:c r="F11" s="35"/>
    </x:row>
    <x:row r="12">
      <x:c r="A12" s="35" t="str">
        <x:v>5–9</x:v>
      </x:c>
      <x:c r="B12" s="35" t="str">
        <x:v>Moderate</x:v>
      </x:c>
      <x:c r="C12" s="35" t="str">
        <x:v>Treatment plan recommended</x:v>
      </x:c>
      <x:c r="D12" s="35"/>
      <x:c r="E12" s="35"/>
      <x:c r="F12" s="35"/>
    </x:row>
    <x:row r="13">
      <x:c r="A13" s="35" t="str">
        <x:v>10–16</x:v>
      </x:c>
      <x:c r="B13" s="35" t="str">
        <x:v>High</x:v>
      </x:c>
      <x:c r="C13" s="35" t="str">
        <x:v>Prioritized treatment and management visibility</x:v>
      </x:c>
      <x:c r="D13" s="35"/>
      <x:c r="E13" s="35"/>
      <x:c r="F13" s="35"/>
    </x:row>
    <x:row r="14">
      <x:c r="A14" s="35" t="str">
        <x:v>17–25</x:v>
      </x:c>
      <x:c r="B14" s="35" t="str">
        <x:v>Critical</x:v>
      </x:c>
      <x:c r="C14" s="35" t="str">
        <x:v>Immediate attention / escalation</x:v>
      </x:c>
      <x:c r="D14" s="35"/>
      <x:c r="E14" s="35"/>
      <x:c r="F14" s="35"/>
    </x:row>
    <x:row r="15">
      <x:c r="A15" s="35"/>
      <x:c r="B15" s="35"/>
      <x:c r="C15" s="35"/>
      <x:c r="D15" s="35"/>
      <x:c r="E15" s="35"/>
      <x:c r="F15" s="35"/>
    </x:row>
    <x:row r="16">
      <x:c r="A16" s="36" t="str">
        <x:v>Formula</x:v>
      </x:c>
      <x:c r="B16" s="36" t="str">
        <x:v>Definition</x:v>
      </x:c>
      <x:c r="C16" s="35"/>
      <x:c r="D16" s="35"/>
      <x:c r="E16" s="35"/>
      <x:c r="F16" s="35"/>
    </x:row>
    <x:row r="17">
      <x:c r="A17" s="35" t="str">
        <x:v>Inherent risk</x:v>
      </x:c>
      <x:c r="B17" s="35" t="str">
        <x:v>Likelihood × Impact before considering treatment</x:v>
      </x:c>
      <x:c r="C17" s="35"/>
      <x:c r="D17" s="35"/>
      <x:c r="E17" s="35"/>
      <x:c r="F17" s="35"/>
    </x:row>
    <x:row r="18">
      <x:c r="A18" s="35" t="str">
        <x:v>Residual risk</x:v>
      </x:c>
      <x:c r="B18" s="35" t="str">
        <x:v>Likelihood × Impact after considering existing/planned controls</x:v>
      </x:c>
      <x:c r="C18" s="35"/>
      <x:c r="D18" s="35"/>
      <x:c r="E18" s="35"/>
      <x:c r="F18" s="35"/>
    </x:row>
    <x:row r="19">
      <x:c r="A19" s="35"/>
      <x:c r="B19" s="35"/>
      <x:c r="C19" s="35"/>
      <x:c r="D19" s="35"/>
      <x:c r="E19" s="35"/>
      <x:c r="F19" s="35"/>
    </x:row>
    <x:row r="20">
      <x:c r="A20" s="36" t="str">
        <x:v>Portfolio note</x:v>
      </x:c>
      <x:c r="B20" s="36" t="str"/>
      <x:c r="C20" s="36" t="str"/>
      <x:c r="D20" s="36" t="str"/>
      <x:c r="E20" s="36" t="str"/>
      <x:c r="F20" s="36" t="str"/>
    </x:row>
    <x:row r="21" ht="35" customHeight="1">
      <x:c r="A21" s="37" t="str">
        <x:v>This methodology is illustrative and intended for a simulated portfolio project. In a real organization, use the organization's approved risk methodology, scoring scales, risk appetite, escalation thresholds and treatment/acceptance process.</x:v>
      </x:c>
      <x:c r="B21" s="37"/>
      <x:c r="C21" s="37"/>
      <x:c r="D21" s="37"/>
      <x:c r="E21" s="37"/>
      <x:c r="F21" s="37"/>
    </x:row>
    <x:row r="22" ht="35" customHeight="1">
      <x:c r="A22" s="37"/>
      <x:c r="B22" s="37"/>
      <x:c r="C22" s="37"/>
      <x:c r="D22" s="37"/>
      <x:c r="E22" s="37"/>
      <x:c r="F22" s="37"/>
    </x:row>
    <x:row r="23" ht="35" customHeight="1">
      <x:c r="A23" s="37"/>
      <x:c r="B23" s="37"/>
      <x:c r="C23" s="37"/>
      <x:c r="D23" s="37"/>
      <x:c r="E23" s="37"/>
      <x:c r="F23" s="37"/>
    </x:row>
  </x:sheetData>
  <x:mergeCells>
    <x:mergeCell ref="A1:F1"/>
    <x:mergeCell ref="A21:F23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  <x:col min="3" max="3" width="14" hidden="0" customWidth="1"/>
    <x:col min="4" max="4" width="22" hidden="0" customWidth="1"/>
    <x:col min="5" max="5" width="14" hidden="0" customWidth="1"/>
    <x:col min="6" max="6" width="14" hidden="0" customWidth="1"/>
    <x:col min="7" max="7" width="20" hidden="0" customWidth="1"/>
    <x:col min="8" max="8" width="14" hidden="0" customWidth="1"/>
  </x:cols>
  <x:sheetData>
    <x:row r="1">
      <x:c r="A1" s="22" t="str">
        <x:v>Cyber Risk Dashboard — Northstar Cloud Services</x:v>
      </x:c>
      <x:c r="B1" s="22"/>
      <x:c r="C1" s="22"/>
      <x:c r="D1" s="22"/>
      <x:c r="E1" s="22"/>
      <x:c r="F1" s="22"/>
      <x:c r="G1" s="22"/>
      <x:c r="H1" s="22"/>
    </x:row>
    <x:row r="3">
      <x:c r="A3" s="45" t="n">
        <x:f>COUNTA('Risk Register'!A2:A16)</x:f>
        <x:v>15</x:v>
      </x:c>
      <x:c r="C3" s="45" t="n">
        <x:f>COUNTIF('Risk Register'!G2:G16,"&gt;=10")</x:f>
        <x:v>14</x:v>
      </x:c>
      <x:c r="E3" s="45" t="n">
        <x:f>COUNTIF('Risk Register'!L2:L16,"&gt;=10")</x:f>
        <x:v>0</x:v>
      </x:c>
      <x:c r="G3" s="45" t="n">
        <x:f>COUNTIF('Risk Register'!O2:O16,"In Progress")</x:f>
        <x:v>4</x:v>
      </x:c>
    </x:row>
    <x:row r="5">
      <x:c r="A5" s="51" t="str">
        <x:v>Total risks</x:v>
      </x:c>
      <x:c r="B5" s="51" t="str"/>
      <x:c r="C5" s="51" t="str">
        <x:v>High/Critical inherent</x:v>
      </x:c>
      <x:c r="D5" s="51" t="str"/>
      <x:c r="E5" s="51" t="str">
        <x:v>High/Critical residual</x:v>
      </x:c>
      <x:c r="F5" s="51" t="str"/>
      <x:c r="G5" s="51" t="str">
        <x:v>In progress</x:v>
      </x:c>
      <x:c r="H5" s="51" t="str"/>
    </x:row>
    <x:row r="8">
      <x:c r="A8" s="27" t="str">
        <x:v>Risk Rating</x:v>
      </x:c>
      <x:c r="B8" s="27" t="str">
        <x:v>Count</x:v>
      </x:c>
      <x:c r="D8" s="27" t="str">
        <x:v>Treatment</x:v>
      </x:c>
      <x:c r="E8" s="27" t="str">
        <x:v>Count</x:v>
      </x:c>
      <x:c r="G8" s="27" t="str">
        <x:v>Status</x:v>
      </x:c>
      <x:c r="H8" s="27" t="str">
        <x:v>Count</x:v>
      </x:c>
    </x:row>
    <x:row r="9">
      <x:c r="A9" s="30" t="str">
        <x:v>Low</x:v>
      </x:c>
      <x:c r="B9" s="30" t="n">
        <x:f>COUNTIF('Risk Register'!G2:G16,"&lt;=4")</x:f>
        <x:v>0</x:v>
      </x:c>
      <x:c r="D9" s="30" t="str">
        <x:v>Mitigate</x:v>
      </x:c>
      <x:c r="E9" s="30" t="n">
        <x:f>COUNTIF('Risk Register'!H2:H16,D9)</x:f>
        <x:v>15</x:v>
      </x:c>
      <x:c r="G9" s="30" t="str">
        <x:v>Open</x:v>
      </x:c>
      <x:c r="H9" s="30" t="n">
        <x:f>COUNTIF('Risk Register'!O2:O16,G9)</x:f>
        <x:v>11</x:v>
      </x:c>
    </x:row>
    <x:row r="10">
      <x:c r="A10" s="30" t="str">
        <x:v>Moderate</x:v>
      </x:c>
      <x:c r="B10" s="30" t="n">
        <x:f>COUNTIFS('Risk Register'!G2:G16,"&gt;=5",'Risk Register'!G2:G16,"&lt;=9")</x:f>
        <x:v>1</x:v>
      </x:c>
      <x:c r="D10" s="30" t="str">
        <x:v>Transfer</x:v>
      </x:c>
      <x:c r="E10" s="30" t="n">
        <x:f>COUNTIF('Risk Register'!H2:H16,D10)</x:f>
        <x:v>0</x:v>
      </x:c>
      <x:c r="G10" s="30" t="str">
        <x:v>In Progress</x:v>
      </x:c>
      <x:c r="H10" s="30" t="n">
        <x:f>COUNTIF('Risk Register'!O2:O16,G10)</x:f>
        <x:v>4</x:v>
      </x:c>
    </x:row>
    <x:row r="11">
      <x:c r="A11" s="30" t="str">
        <x:v>High</x:v>
      </x:c>
      <x:c r="B11" s="30" t="n">
        <x:f>COUNTIFS('Risk Register'!G2:G16,"&gt;=10",'Risk Register'!G2:G16,"&lt;=16")</x:f>
        <x:v>11</x:v>
      </x:c>
      <x:c r="D11" s="30" t="str">
        <x:v>Avoid</x:v>
      </x:c>
      <x:c r="E11" s="30" t="n">
        <x:f>COUNTIF('Risk Register'!H2:H16,D11)</x:f>
        <x:v>0</x:v>
      </x:c>
      <x:c r="G11" s="30" t="str">
        <x:v>Closed</x:v>
      </x:c>
      <x:c r="H11" s="30" t="n">
        <x:f>COUNTIF('Risk Register'!O2:O16,G11)</x:f>
        <x:v>0</x:v>
      </x:c>
    </x:row>
    <x:row r="12">
      <x:c r="A12" s="30" t="str">
        <x:v>Critical</x:v>
      </x:c>
      <x:c r="B12" s="30" t="n">
        <x:f>COUNTIF('Risk Register'!G2:G16,"&gt;=17")</x:f>
        <x:v>3</x:v>
      </x:c>
      <x:c r="D12" s="30" t="str">
        <x:v>Accept</x:v>
      </x:c>
      <x:c r="E12" s="30" t="n">
        <x:f>COUNTIF('Risk Register'!H2:H16,D12)</x:f>
        <x:v>0</x:v>
      </x:c>
      <x:c r="G12" s="30" t="str">
        <x:v>Accepted</x:v>
      </x:c>
      <x:c r="H12" s="30" t="n">
        <x:f>COUNTIF('Risk Register'!O2:O16,G12)</x:f>
        <x:v>0</x:v>
      </x:c>
    </x:row>
    <x:row r="13">
      <x:c r="G13" s="30" t="str">
        <x:v>Monitoring</x:v>
      </x:c>
      <x:c r="H13" s="30" t="n">
        <x:f>COUNTIF('Risk Register'!O2:O16,G13)</x:f>
        <x:v>0</x:v>
      </x:c>
    </x:row>
    <x:row r="16">
      <x:c r="A16" s="27" t="str">
        <x:v>Category</x:v>
      </x:c>
      <x:c r="B16" s="27" t="str">
        <x:v>Risks</x:v>
      </x:c>
    </x:row>
    <x:row r="17">
      <x:c r="A17" t="str">
        <x:v>Access Governance</x:v>
      </x:c>
      <x:c r="B17" t="n">
        <x:f>COUNTIF('Risk Register'!B2:B16,A17)</x:f>
        <x:v>1</x:v>
      </x:c>
    </x:row>
    <x:row r="18">
      <x:c r="A18" t="str">
        <x:v>Asset Management</x:v>
      </x:c>
      <x:c r="B18" t="n">
        <x:f>COUNTIF('Risk Register'!B2:B16,A18)</x:f>
        <x:v>1</x:v>
      </x:c>
    </x:row>
    <x:row r="19">
      <x:c r="A19" t="str">
        <x:v>Backup &amp; Recovery</x:v>
      </x:c>
      <x:c r="B19" t="n">
        <x:f>COUNTIF('Risk Register'!B2:B16,A19)</x:f>
        <x:v>1</x:v>
      </x:c>
    </x:row>
    <x:row r="20">
      <x:c r="A20" t="str">
        <x:v>Business Continuity</x:v>
      </x:c>
      <x:c r="B20" t="n">
        <x:f>COUNTIF('Risk Register'!B2:B16,A20)</x:f>
        <x:v>1</x:v>
      </x:c>
    </x:row>
    <x:row r="21">
      <x:c r="A21" t="str">
        <x:v>Change Management</x:v>
      </x:c>
      <x:c r="B21" t="n">
        <x:f>COUNTIF('Risk Register'!B2:B16,A21)</x:f>
        <x:v>1</x:v>
      </x:c>
    </x:row>
    <x:row r="22">
      <x:c r="A22" t="str">
        <x:v>Cloud Security</x:v>
      </x:c>
      <x:c r="B22" t="n">
        <x:f>COUNTIF('Risk Register'!B2:B16,A22)</x:f>
        <x:v>1</x:v>
      </x:c>
    </x:row>
    <x:row r="23">
      <x:c r="A23" t="str">
        <x:v>Data Protection</x:v>
      </x:c>
      <x:c r="B23" t="n">
        <x:f>COUNTIF('Risk Register'!B2:B16,A23)</x:f>
        <x:v>1</x:v>
      </x:c>
    </x:row>
    <x:row r="24">
      <x:c r="A24" t="str">
        <x:v>Endpoint Security</x:v>
      </x:c>
      <x:c r="B24" t="n">
        <x:f>COUNTIF('Risk Register'!B2:B16,A24)</x:f>
        <x:v>1</x:v>
      </x:c>
    </x:row>
    <x:row r="25">
      <x:c r="A25" t="str">
        <x:v>IAM</x:v>
      </x:c>
      <x:c r="B25" t="n">
        <x:f>COUNTIF('Risk Register'!B2:B16,A25)</x:f>
        <x:v>1</x:v>
      </x:c>
    </x:row>
    <x:row r="26">
      <x:c r="A26" t="str">
        <x:v>Incident Response</x:v>
      </x:c>
      <x:c r="B26" t="n">
        <x:f>COUNTIF('Risk Register'!B2:B16,A26)</x:f>
        <x:v>1</x:v>
      </x:c>
    </x:row>
    <x:row r="27">
      <x:c r="A27" t="str">
        <x:v>Logging &amp; Monitoring</x:v>
      </x:c>
      <x:c r="B27" t="n">
        <x:f>COUNTIF('Risk Register'!B2:B16,A27)</x:f>
        <x:v>1</x:v>
      </x:c>
    </x:row>
    <x:row r="28">
      <x:c r="A28" t="str">
        <x:v>Policy &amp; Governance</x:v>
      </x:c>
      <x:c r="B28" t="n">
        <x:f>COUNTIF('Risk Register'!B2:B16,A28)</x:f>
        <x:v>1</x:v>
      </x:c>
    </x:row>
    <x:row r="29">
      <x:c r="A29" t="str">
        <x:v>Security Awareness</x:v>
      </x:c>
      <x:c r="B29" t="n">
        <x:f>COUNTIF('Risk Register'!B2:B16,A29)</x:f>
        <x:v>1</x:v>
      </x:c>
    </x:row>
    <x:row r="30">
      <x:c r="A30" t="str">
        <x:v>Third Party</x:v>
      </x:c>
      <x:c r="B30" t="n">
        <x:f>COUNTIF('Risk Register'!B2:B16,A30)</x:f>
        <x:v>1</x:v>
      </x:c>
    </x:row>
    <x:row r="31">
      <x:c r="A31" s="55" t="str">
        <x:v>Portfolio note: All figures are fictional and created for a simulated GRC risk-management project.</x:v>
      </x:c>
      <x:c r="B31" s="55" t="n">
        <x:f>COUNTIF('Risk Register'!B2:B16,A31)</x:f>
        <x:v>0</x:v>
      </x:c>
      <x:c r="C31" s="55"/>
      <x:c r="D31" s="55"/>
      <x:c r="E31" s="55"/>
      <x:c r="F31" s="55"/>
      <x:c r="G31" s="55"/>
      <x:c r="H31" s="55"/>
    </x:row>
  </x:sheetData>
  <x:mergeCells>
    <x:mergeCell ref="A1:H1"/>
    <x:mergeCell ref="A3:B4"/>
    <x:mergeCell ref="C3:D4"/>
    <x:mergeCell ref="E3:F4"/>
    <x:mergeCell ref="G3:H4"/>
    <x:mergeCell ref="A31:H31"/>
  </x:mergeCells>
  <x:pageMargins left="0.7" right="0.7" top="0.75" bottom="0.75" header="0.3" footer="0.3"/>
  <x:drawing xmlns:r="http://schemas.openxmlformats.org/officeDocument/2006/relationships" r:id="R2831fd4de8874897"/>
</x:worksheet>
</file>