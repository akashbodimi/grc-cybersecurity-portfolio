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da0946af048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abd2feaa7294b5f"/>
    <x:sheet xmlns:r="http://schemas.openxmlformats.org/officeDocument/2006/relationships" name="Data Inventory" sheetId="2" r:id="R6592452355634c22"/>
    <x:sheet xmlns:r="http://schemas.openxmlformats.org/officeDocument/2006/relationships" name="Privacy Risk Register" sheetId="3" r:id="R00bc68eb4ed345a7"/>
    <x:sheet xmlns:r="http://schemas.openxmlformats.org/officeDocument/2006/relationships" name="DPIA" sheetId="4" r:id="Rbcb79248b3654087"/>
    <x:sheet xmlns:r="http://schemas.openxmlformats.org/officeDocument/2006/relationships" name="Rights Requests" sheetId="5" r:id="R47c6eaee8a7648df"/>
    <x:sheet xmlns:r="http://schemas.openxmlformats.org/officeDocument/2006/relationships" name="Retention Schedule" sheetId="6" r:id="Rbc85bd430d3b479d"/>
    <x:sheet xmlns:r="http://schemas.openxmlformats.org/officeDocument/2006/relationships" name="Privacy Gap Assessment" sheetId="7" r:id="Rbc568ddc1d7241b2"/>
    <x:sheet xmlns:r="http://schemas.openxmlformats.org/officeDocument/2006/relationships" name="Remediation" sheetId="8" r:id="Rb1b708d8886840f3"/>
    <x:sheet xmlns:r="http://schemas.openxmlformats.org/officeDocument/2006/relationships" name="Executive Summary" sheetId="9" r:id="R47915598eceb4bfd"/>
    <x:sheet xmlns:r="http://schemas.openxmlformats.org/officeDocument/2006/relationships" name="Sources" sheetId="10" r:id="R511775d2a63748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7F6000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14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4" fillId="0" borderId="5" xfId="0" applyNumberFormat="1" applyFont="1" applyFill="1" applyBorder="1"/>
    <x:xf numFmtId="0" fontId="4" fillId="0" borderId="7" xfId="0" applyNumberFormat="1" applyFont="1" applyFill="1" applyBorder="1"/>
    <x:xf numFmtId="0" fontId="4" fillId="0" borderId="13" xfId="0" applyNumberFormat="1" applyFont="1" applyFill="1" applyBorder="1"/>
    <x:xf numFmtId="0" fontId="4" fillId="0" borderId="15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8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6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horizontal="center" wrapText="1"/>
    </x:xf>
    <x:xf numFmtId="200" fontId="0" fillId="0" borderId="8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horizontal="center" wrapText="1"/>
    </x:xf>
    <x:xf numFmtId="200" fontId="0" fillId="0" borderId="16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6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13" xfId="0" applyNumberFormat="1" applyFont="1" applyFill="1" applyBorder="1" applyAlignment="1">
      <x:alignment wrapText="1"/>
    </x:xf>
    <x:xf numFmtId="0" fontId="4" fillId="0" borderId="15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0" borderId="11" xfId="0" applyNumberFormat="1" applyFont="1" applyFill="1" applyBorder="1" applyAlignment="1">
      <x:alignment vertical="center"/>
    </x:xf>
    <x:xf numFmtId="0" fontId="0" fillId="0" borderId="12" xfId="0" applyNumberFormat="1" applyFont="1" applyFill="1" applyBorder="1" applyAlignment="1">
      <x:alignment vertical="center"/>
    </x:xf>
    <x:xf numFmtId="0" fontId="4" fillId="0" borderId="13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4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200" fontId="0" fillId="0" borderId="8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center" vertical="center" wrapText="1"/>
    </x:xf>
    <x:xf numFmtId="200" fontId="0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200" fontId="0" fillId="0" borderId="16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8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16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4" fillId="0" borderId="13" xfId="0" applyNumberFormat="1" applyFont="1" applyFill="1" applyBorder="1" applyAlignment="1">
      <x:alignment vertical="center" wrapText="1"/>
    </x:xf>
    <x:xf numFmtId="0" fontId="4" fillId="0" borderId="15" xfId="0" applyNumberFormat="1" applyFont="1" applyFill="1" applyBorder="1" applyAlignment="1">
      <x:alignment vertical="center" wrapText="1"/>
    </x:xf>
    <x:xf numFmtId="0" fontId="0" fillId="4" borderId="3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 wrapText="1"/>
    </x:xf>
    <x:xf numFmtId="0" fontId="0" fillId="4" borderId="11" xfId="0" applyNumberFormat="1" applyFont="1" applyFill="1" applyBorder="1" applyAlignment="1">
      <x:alignment vertical="center"/>
    </x:xf>
    <x:xf numFmtId="0" fontId="3" fillId="4" borderId="11" xfId="0" applyNumberFormat="1" applyFont="1" applyFill="1" applyBorder="1" applyAlignment="1">
      <x:alignment vertical="center"/>
    </x:xf>
    <x:xf numFmtId="0" fontId="3" fillId="4" borderId="11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</x:cellXfs>
  <x:cellStyles count="1">
    <x:cellStyle name="Normal" xfId="0"/>
  </x:cellStyles>
  <x:dxfs count="3">
    <x:dxf>
      <x:fill>
        <x:patternFill patternType="solid">
          <x:bgColor rgb="FFF4CCCC"/>
        </x:patternFill>
      </x:fill>
    </x:dxf>
    <x:dxf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c1954e4864229" /><Relationship Type="http://schemas.openxmlformats.org/officeDocument/2006/relationships/theme" Target="/xl/theme/theme1.xml" Id="Ra23717d273b640f6" /><Relationship Type="http://schemas.openxmlformats.org/officeDocument/2006/relationships/sharedStrings" Target="/xl/sharedStrings.xml" Id="R03f3e463c38047fc" /><Relationship Type="http://schemas.openxmlformats.org/officeDocument/2006/relationships/worksheet" Target="/xl/worksheets/sheet1.xml" Id="R3abd2feaa7294b5f" /><Relationship Type="http://schemas.openxmlformats.org/officeDocument/2006/relationships/worksheet" Target="/xl/worksheets/sheet2.xml" Id="R6592452355634c22" /><Relationship Type="http://schemas.openxmlformats.org/officeDocument/2006/relationships/worksheet" Target="/xl/worksheets/sheet3.xml" Id="R00bc68eb4ed345a7" /><Relationship Type="http://schemas.openxmlformats.org/officeDocument/2006/relationships/worksheet" Target="/xl/worksheets/sheet4.xml" Id="Rbcb79248b3654087" /><Relationship Type="http://schemas.openxmlformats.org/officeDocument/2006/relationships/worksheet" Target="/xl/worksheets/sheet5.xml" Id="R47c6eaee8a7648df" /><Relationship Type="http://schemas.openxmlformats.org/officeDocument/2006/relationships/worksheet" Target="/xl/worksheets/sheet6.xml" Id="Rbc85bd430d3b479d" /><Relationship Type="http://schemas.openxmlformats.org/officeDocument/2006/relationships/worksheet" Target="/xl/worksheets/sheet7.xml" Id="Rbc568ddc1d7241b2" /><Relationship Type="http://schemas.openxmlformats.org/officeDocument/2006/relationships/worksheet" Target="/xl/worksheets/sheet8.xml" Id="Rb1b708d8886840f3" /><Relationship Type="http://schemas.openxmlformats.org/officeDocument/2006/relationships/worksheet" Target="/xl/worksheets/sheet9.xml" Id="R47915598eceb4bfd" /><Relationship Type="http://schemas.openxmlformats.org/officeDocument/2006/relationships/worksheet" Target="/xl/worksheets/sheet10.xml" Id="R511775d2a63748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b6bff448ca41d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Privacy Risk Tier Distribution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'Dashboard'!$E$5:$E$8</c:f>
              <c:strCache>
                <c:ptCount val="0"/>
              </c:strCache>
            </c:strRef>
          </c:cat>
          <c:val>
            <c:numRef>
              <c:f>'Dashboard'!$F$5:$F$8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9</xdr:row>
      <xdr:rowOff>0</xdr:rowOff>
    </xdr:from>
    <xdr:to>
      <xdr:col>10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b6bff448ca41d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ataInventoryTable" displayName="DataInventoryTable" ref="A4:K14" headerRowCount="1" totalsRowCount="0" totalsRowShown="0">
  <x:tableColumns count="11">
    <x:tableColumn id="1" name="Activity ID"/>
    <x:tableColumn id="2" name="Processing Activity"/>
    <x:tableColumn id="3" name="Business Purpose"/>
    <x:tableColumn id="4" name="Data Subjects"/>
    <x:tableColumn id="5" name="Personal Data Categories"/>
    <x:tableColumn id="6" name="Processing Basis / Condition"/>
    <x:tableColumn id="7" name="Data Recipients / Processors"/>
    <x:tableColumn id="8" name="Transfer / Location"/>
    <x:tableColumn id="9" name="Security Controls"/>
    <x:tableColumn id="10" name="Retention Status"/>
    <x:tableColumn id="11" name="DPIA Flag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vacyRiskTable" displayName="PrivacyRiskTable" ref="A4:L14" headerRowCount="1" totalsRowCount="0" totalsRowShown="0">
  <x:tableColumns count="12">
    <x:tableColumn id="1" name="Risk ID"/>
    <x:tableColumn id="2" name="Activity ID"/>
    <x:tableColumn id="3" name="Privacy Risk"/>
    <x:tableColumn id="4" name="Data Impact (1-5)"/>
    <x:tableColumn id="5" name="Likelihood (1-5)"/>
    <x:tableColumn id="6" name="Volume / Scope (1-5)"/>
    <x:tableColumn id="7" name="Inherent Score"/>
    <x:tableColumn id="8" name="Control Strength (1-5)"/>
    <x:tableColumn id="9" name="Risk Tier"/>
    <x:tableColumn id="10" name="Treatment"/>
    <x:tableColumn id="11" name="Owner"/>
    <x:tableColumn id="12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PIATable" displayName="DPIATable" ref="A4:J14" headerRowCount="1" totalsRowCount="0" totalsRowShown="0">
  <x:tableColumns count="10">
    <x:tableColumn id="1" name="DPIA Item"/>
    <x:tableColumn id="2" name="Assessment Question"/>
    <x:tableColumn id="3" name="Current State"/>
    <x:tableColumn id="4" name="Risk / Concern"/>
    <x:tableColumn id="5" name="Safeguard"/>
    <x:tableColumn id="6" name="Residual Risk"/>
    <x:tableColumn id="7" name="Owner"/>
    <x:tableColumn id="8" name="Target Date"/>
    <x:tableColumn id="9" name="Status"/>
    <x:tableColumn id="10" name="DPIA Required?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ightsTable" displayName="RightsTable" ref="A4:K9" headerRowCount="1" totalsRowCount="0" totalsRowShown="0">
  <x:tableColumns count="11">
    <x:tableColumn id="1" name="Request ID"/>
    <x:tableColumn id="2" name="Jurisdiction / Framework"/>
    <x:tableColumn id="3" name="Request Type"/>
    <x:tableColumn id="4" name="Requester Type"/>
    <x:tableColumn id="5" name="Received Date"/>
    <x:tableColumn id="6" name="Identity Verified"/>
    <x:tableColumn id="7" name="Systems In Scope"/>
    <x:tableColumn id="8" name="Owner"/>
    <x:tableColumn id="9" name="Target Date"/>
    <x:tableColumn id="10" name="Status"/>
    <x:tableColumn id="11" name="Evidence / 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tentionTable" displayName="RetentionTable" ref="A4:J12" headerRowCount="1" totalsRowCount="0" totalsRowShown="0">
  <x:tableColumns count="10">
    <x:tableColumn id="1" name="Record / Data Set"/>
    <x:tableColumn id="2" name="Business Purpose"/>
    <x:tableColumn id="3" name="System"/>
    <x:tableColumn id="4" name="Retention Rule (Simulated)"/>
    <x:tableColumn id="5" name="Trigger"/>
    <x:tableColumn id="6" name="Deletion / Anonymisation Method"/>
    <x:tableColumn id="7" name="Legal / Business Hold"/>
    <x:tableColumn id="8" name="Owner"/>
    <x:tableColumn id="9" name="Status"/>
    <x:tableColumn id="10" name="Gap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rivacyGapTable" displayName="PrivacyGapTable" ref="A4:K16" headerRowCount="1" totalsRowCount="0" totalsRowShown="0">
  <x:tableColumns count="11">
    <x:tableColumn id="1" name="Control ID"/>
    <x:tableColumn id="2" name="Framework"/>
    <x:tableColumn id="3" name="Requirement / Control Theme"/>
    <x:tableColumn id="4" name="Current State"/>
    <x:tableColumn id="5" name="Evidence"/>
    <x:tableColumn id="6" name="Gap"/>
    <x:tableColumn id="7" name="Risk"/>
    <x:tableColumn id="8" name="Priority"/>
    <x:tableColumn id="9" name="Status"/>
    <x:tableColumn id="10" name="Recommendation"/>
    <x:tableColumn id="11" name="Owner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ivacyRemediationTable" displayName="PrivacyRemediationTable" ref="A4:J12" headerRowCount="1" totalsRowCount="0" totalsRowShown="0">
  <x:tableColumns count="10">
    <x:tableColumn id="1" name="Action ID"/>
    <x:tableColumn id="2" name="Source ID"/>
    <x:tableColumn id="3" name="Action"/>
    <x:tableColumn id="4" name="Owner"/>
    <x:tableColumn id="5" name="Priority"/>
    <x:tableColumn id="6" name="Target Date"/>
    <x:tableColumn id="7" name="Success Measure"/>
    <x:tableColumn id="8" name="Status"/>
    <x:tableColumn id="9" name="Validation Evidence"/>
    <x:tableColumn id="10" name="Dependenc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ee438203464f5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020c1dc66940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8f1c346777e438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28c3157dd84f5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9c29f6f82844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374dc3766c341f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ffabb024c64e8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2a9dcb109c7438f" /></Relationships>
</file>

<file path=xl/worksheets/sheet1.xml><?xml version="1.0" encoding="utf-8"?>
<x:worksheet xmlns:x="http://schemas.openxmlformats.org/spreadsheetml/2006/main">
  <x:sheetFormatPr defaultRowHeight="15"/>
  <x:cols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8" customHeight="1">
      <x:c r="A1" s="5" t="str">
        <x:v>Northstar Privacy Readiness Dashboard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83" t="str">
        <x:v>Simulated portfolio assessment. Fictional organization and data. Not legal advice or a certification opinion.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</x:row>
    <x:row r="4">
      <x:c r="A4" s="26" t="str">
        <x:v>Metric</x:v>
      </x:c>
      <x:c r="B4" s="27" t="str">
        <x:v>Value</x:v>
      </x:c>
      <x:c r="C4" s="27" t="str">
        <x:v>Interpretation</x:v>
      </x:c>
      <x:c r="D4" s="85" t="str"/>
      <x:c r="E4" s="26" t="str">
        <x:v>Risk Tier</x:v>
      </x:c>
      <x:c r="F4" s="57" t="str">
        <x:v>Count</x:v>
      </x:c>
      <x:c r="G4" s="85" t="str"/>
      <x:c r="H4" s="86" t="str"/>
      <x:c r="I4" s="84"/>
      <x:c r="J4" s="84"/>
    </x:row>
    <x:row r="5">
      <x:c r="A5" s="87" t="str">
        <x:v>Processing Activities</x:v>
      </x:c>
      <x:c r="B5" s="84" t="n">
        <x:f>COUNTA('Data Inventory'!A5:A14)</x:f>
        <x:v>10</x:v>
      </x:c>
      <x:c r="C5" s="84" t="str">
        <x:v>Count of catalogued personal-data processing activities</x:v>
      </x:c>
      <x:c r="D5" s="84" t="str"/>
      <x:c r="E5" s="139" t="str">
        <x:v>Critical</x:v>
      </x:c>
      <x:c r="F5" s="88" t="n">
        <x:f>COUNTIF('Privacy Risk Register'!I5:I14,"Critical")</x:f>
        <x:v>1</x:v>
      </x:c>
      <x:c r="G5" s="84" t="str"/>
      <x:c r="H5" s="88" t="str"/>
      <x:c r="I5" s="84"/>
      <x:c r="J5" s="84"/>
    </x:row>
    <x:row r="6">
      <x:c r="A6" s="87" t="str">
        <x:v>High/Critical Privacy Risks</x:v>
      </x:c>
      <x:c r="B6" s="84" t="n">
        <x:f>COUNTIF('Privacy Risk Register'!I5:I14,"High")+COUNTIF('Privacy Risk Register'!I5:I14,"Critical")</x:f>
        <x:v>5</x:v>
      </x:c>
      <x:c r="C6" s="84" t="str">
        <x:v>Open inherent-risk items at high or critical tier</x:v>
      </x:c>
      <x:c r="D6" s="84" t="str"/>
      <x:c r="E6" s="139" t="str">
        <x:v>High</x:v>
      </x:c>
      <x:c r="F6" s="88" t="n">
        <x:f>COUNTIF('Privacy Risk Register'!I5:I14,"High")</x:f>
        <x:v>4</x:v>
      </x:c>
      <x:c r="G6" s="84" t="str"/>
      <x:c r="H6" s="88" t="str"/>
      <x:c r="I6" s="84"/>
      <x:c r="J6" s="84"/>
    </x:row>
    <x:row r="7">
      <x:c r="A7" s="87" t="str">
        <x:v>Open Remediation Actions</x:v>
      </x:c>
      <x:c r="B7" s="84" t="n">
        <x:f>COUNTIF(Remediation!H5:H14,"Open")+COUNTIF(Remediation!H5:H14,"In Progress")</x:f>
        <x:v>8</x:v>
      </x:c>
      <x:c r="C7" s="84" t="str">
        <x:v>Open or in-progress privacy actions</x:v>
      </x:c>
      <x:c r="D7" s="84" t="str"/>
      <x:c r="E7" s="139" t="str">
        <x:v>Medium</x:v>
      </x:c>
      <x:c r="F7" s="88" t="n">
        <x:f>COUNTIF('Privacy Risk Register'!I5:I14,"Medium")</x:f>
        <x:v>5</x:v>
      </x:c>
      <x:c r="G7" s="84" t="str"/>
      <x:c r="H7" s="88" t="str"/>
      <x:c r="I7" s="84"/>
      <x:c r="J7" s="84"/>
    </x:row>
    <x:row r="8">
      <x:c r="A8" s="87" t="str">
        <x:v>DPIA Required / In Scope</x:v>
      </x:c>
      <x:c r="B8" s="84" t="n">
        <x:f>COUNTIF(DPIA!J5:J14,"Yes")</x:f>
        <x:v>10</x:v>
      </x:c>
      <x:c r="C8" s="84" t="str">
        <x:v>Processing activities flagged for DPIA analysis</x:v>
      </x:c>
      <x:c r="D8" s="84" t="str"/>
      <x:c r="E8" s="140" t="str">
        <x:v>Low</x:v>
      </x:c>
      <x:c r="F8" s="91" t="n">
        <x:f>COUNTIF('Privacy Risk Register'!I5:I14,"Low")</x:f>
        <x:v>0</x:v>
      </x:c>
      <x:c r="G8" s="84" t="str"/>
      <x:c r="H8" s="88" t="str"/>
      <x:c r="I8" s="84"/>
      <x:c r="J8" s="84"/>
    </x:row>
    <x:row r="9">
      <x:c r="A9" s="87" t="str">
        <x:v>Rights Requests</x:v>
      </x:c>
      <x:c r="B9" s="84" t="n">
        <x:f>COUNTA('Rights Requests'!A5:A14)</x:f>
        <x:v>5</x:v>
      </x:c>
      <x:c r="C9" s="84" t="str">
        <x:v>Simulated data-subject / data-principal requests tracked</x:v>
      </x:c>
      <x:c r="D9" s="84" t="str"/>
      <x:c r="E9" s="84" t="str"/>
      <x:c r="F9" s="84" t="str"/>
      <x:c r="G9" s="84" t="str"/>
      <x:c r="H9" s="88" t="str"/>
      <x:c r="I9" s="84"/>
      <x:c r="J9" s="84"/>
    </x:row>
    <x:row r="10">
      <x:c r="A10" s="89" t="str">
        <x:v>Retention Gaps</x:v>
      </x:c>
      <x:c r="B10" s="90" t="n">
        <x:f>COUNTIF('Data Inventory'!J5:J14,"Missing")</x:f>
        <x:v>2</x:v>
      </x:c>
      <x:c r="C10" s="90" t="str">
        <x:v>Processing activities with no defined retention or deletion rule</x:v>
      </x:c>
      <x:c r="D10" s="90" t="str"/>
      <x:c r="E10" s="90" t="str"/>
      <x:c r="F10" s="90" t="str"/>
      <x:c r="G10" s="90" t="str"/>
      <x:c r="H10" s="91" t="str"/>
      <x:c r="I10" s="84"/>
      <x:c r="J10" s="84"/>
    </x:row>
    <x:row r="11">
      <x:c r="A11" s="84"/>
      <x:c r="B11" s="84"/>
      <x:c r="C11" s="84"/>
      <x:c r="D11" s="84"/>
      <x:c r="E11" s="84"/>
      <x:c r="F11" s="84"/>
      <x:c r="G11" s="84"/>
      <x:c r="H11" s="84"/>
      <x:c r="I11" s="84"/>
      <x:c r="J11" s="84"/>
    </x:row>
    <x:row r="12">
      <x:c r="A12" s="26" t="str">
        <x:v>Readiness Area</x:v>
      </x:c>
      <x:c r="B12" s="27" t="str">
        <x:v>Status</x:v>
      </x:c>
      <x:c r="C12" s="27" t="str">
        <x:v>Evidence / Basis</x:v>
      </x:c>
      <x:c r="D12" s="85" t="str"/>
      <x:c r="E12" s="85" t="str"/>
      <x:c r="F12" s="85" t="str"/>
      <x:c r="G12" s="85" t="str"/>
      <x:c r="H12" s="86" t="str"/>
      <x:c r="I12" s="84"/>
      <x:c r="J12" s="84"/>
    </x:row>
    <x:row r="13">
      <x:c r="A13" s="92" t="str">
        <x:v>Transparency &amp; Notice</x:v>
      </x:c>
      <x:c r="B13" s="93" t="str">
        <x:v>Needs Improvement</x:v>
      </x:c>
      <x:c r="C13" s="93" t="str">
        <x:v>Notice is documented but purpose-level detail is incomplete for analytics use cases</x:v>
      </x:c>
      <x:c r="D13" s="84" t="str"/>
      <x:c r="E13" s="84" t="str"/>
      <x:c r="F13" s="84" t="str"/>
      <x:c r="G13" s="84" t="str"/>
      <x:c r="H13" s="88" t="str"/>
      <x:c r="I13" s="84"/>
      <x:c r="J13" s="84"/>
    </x:row>
    <x:row r="14">
      <x:c r="A14" s="92" t="str">
        <x:v>Consent / Lawful Processing</x:v>
      </x:c>
      <x:c r="B14" s="93" t="str">
        <x:v>Needs Improvement</x:v>
      </x:c>
      <x:c r="C14" s="93" t="str">
        <x:v>Processing basis register needs clearer mapping and withdrawal handling</x:v>
      </x:c>
      <x:c r="D14" s="84" t="str"/>
      <x:c r="E14" s="84" t="str"/>
      <x:c r="F14" s="84" t="str"/>
      <x:c r="G14" s="84" t="str"/>
      <x:c r="H14" s="88" t="str"/>
      <x:c r="I14" s="84"/>
      <x:c r="J14" s="84"/>
    </x:row>
    <x:row r="15">
      <x:c r="A15" s="92" t="str">
        <x:v>Data Subject / Data Principal Rights</x:v>
      </x:c>
      <x:c r="B15" s="93" t="str">
        <x:v>Partial</x:v>
      </x:c>
      <x:c r="C15" s="93" t="str">
        <x:v>Request workflow exists in simulation; response SLA and evidence retention need strengthening</x:v>
      </x:c>
      <x:c r="D15" s="84" t="str"/>
      <x:c r="E15" s="84" t="str"/>
      <x:c r="F15" s="84" t="str"/>
      <x:c r="G15" s="84" t="str"/>
      <x:c r="H15" s="88" t="str"/>
      <x:c r="I15" s="84"/>
      <x:c r="J15" s="84"/>
    </x:row>
    <x:row r="16">
      <x:c r="A16" s="92" t="str">
        <x:v>Retention &amp; Deletion</x:v>
      </x:c>
      <x:c r="B16" s="93" t="str">
        <x:v>Needs Improvement</x:v>
      </x:c>
      <x:c r="C16" s="93" t="str">
        <x:v>Two processing activities lack explicit retention/deletion rules</x:v>
      </x:c>
      <x:c r="D16" s="84" t="str"/>
      <x:c r="E16" s="84" t="str"/>
      <x:c r="F16" s="84" t="str"/>
      <x:c r="G16" s="84" t="str"/>
      <x:c r="H16" s="88" t="str"/>
      <x:c r="I16" s="84"/>
      <x:c r="J16" s="84"/>
    </x:row>
    <x:row r="17">
      <x:c r="A17" s="94" t="str">
        <x:v>DPIA / Privacy Risk</x:v>
      </x:c>
      <x:c r="B17" s="95" t="str">
        <x:v>Partial</x:v>
      </x:c>
      <x:c r="C17" s="95" t="str">
        <x:v>One high-risk processing activity requires documented safeguards and review trigger</x:v>
      </x:c>
      <x:c r="D17" s="90" t="str"/>
      <x:c r="E17" s="90" t="str"/>
      <x:c r="F17" s="90" t="str"/>
      <x:c r="G17" s="90" t="str"/>
      <x:c r="H17" s="91" t="str"/>
      <x:c r="I17" s="84"/>
      <x:c r="J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</x:row>
  </x:sheetData>
  <x:mergeCells>
    <x:mergeCell ref="A1:J1"/>
    <x:mergeCell ref="A2:J2"/>
  </x:mergeCells>
  <x:conditionalFormatting sqref="B5:B1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6ee438203464f59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A02B93"/>
            </x14:dataBar>
          </x14:cfRule>
          <xm:sqref>B5:B10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4" hidden="0" customWidth="1"/>
    <x:col min="3" max="3" width="25" hidden="0" customWidth="1"/>
    <x:col min="4" max="4" width="22" hidden="0" customWidth="1"/>
    <x:col min="5" max="5" width="32" hidden="0" customWidth="1"/>
    <x:col min="6" max="6" width="28" hidden="0" customWidth="1"/>
    <x:col min="7" max="7" width="28" hidden="0" customWidth="1"/>
    <x:col min="8" max="8" width="20" hidden="0" customWidth="1"/>
    <x:col min="9" max="9" width="29" hidden="0" customWidth="1"/>
    <x:col min="10" max="10" width="16" hidden="0" customWidth="1"/>
    <x:col min="11" max="11" width="12" hidden="0" customWidth="1"/>
  </x:cols>
  <x:sheetData>
    <x:row r="1" ht="28" customHeight="1">
      <x:c r="A1" s="5" t="str">
        <x:v>Data Inventory / Processing Register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83" t="str">
        <x:v>ROPA-style working register combining processing purpose, data categories, roles, locations, retention and control status.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</x:row>
    <x:row r="4" ht="36" customHeight="1">
      <x:c r="A4" s="26" t="str">
        <x:v>Activity ID</x:v>
      </x:c>
      <x:c r="B4" s="27" t="str">
        <x:v>Processing Activity</x:v>
      </x:c>
      <x:c r="C4" s="27" t="str">
        <x:v>Business Purpose</x:v>
      </x:c>
      <x:c r="D4" s="27" t="str">
        <x:v>Data Subjects</x:v>
      </x:c>
      <x:c r="E4" s="27" t="str">
        <x:v>Personal Data Categories</x:v>
      </x:c>
      <x:c r="F4" s="27" t="str">
        <x:v>Processing Basis / Condition</x:v>
      </x:c>
      <x:c r="G4" s="27" t="str">
        <x:v>Data Recipients / Processors</x:v>
      </x:c>
      <x:c r="H4" s="27" t="str">
        <x:v>Transfer / Location</x:v>
      </x:c>
      <x:c r="I4" s="27" t="str">
        <x:v>Security Controls</x:v>
      </x:c>
      <x:c r="J4" s="27" t="str">
        <x:v>Retention Status</x:v>
      </x:c>
      <x:c r="K4" s="57" t="str">
        <x:v>DPIA Flag</x:v>
      </x:c>
    </x:row>
    <x:row r="5" ht="36" customHeight="1">
      <x:c r="A5" s="92" t="str">
        <x:v>PIA-001</x:v>
      </x:c>
      <x:c r="B5" s="93" t="str">
        <x:v>Customer Account Management</x:v>
      </x:c>
      <x:c r="C5" s="93" t="str">
        <x:v>Provide and administer SaaS accounts</x:v>
      </x:c>
      <x:c r="D5" s="93" t="str">
        <x:v>Customers; business contacts</x:v>
      </x:c>
      <x:c r="E5" s="93" t="str">
        <x:v>Name; business email; role; account identifiers</x:v>
      </x:c>
      <x:c r="F5" s="93" t="str">
        <x:v>Contract / service delivery</x:v>
      </x:c>
      <x:c r="G5" s="93" t="str">
        <x:v>CRM; identity provider</x:v>
      </x:c>
      <x:c r="H5" s="93" t="str">
        <x:v>India; possible global cloud region</x:v>
      </x:c>
      <x:c r="I5" s="93" t="str">
        <x:v>RBAC; MFA; encryption; logging</x:v>
      </x:c>
      <x:c r="J5" s="93" t="str">
        <x:v>Defined</x:v>
      </x:c>
      <x:c r="K5" s="59" t="str">
        <x:v>No</x:v>
      </x:c>
    </x:row>
    <x:row r="6" ht="36" customHeight="1">
      <x:c r="A6" s="92" t="str">
        <x:v>PIA-002</x:v>
      </x:c>
      <x:c r="B6" s="93" t="str">
        <x:v>Customer Support</x:v>
      </x:c>
      <x:c r="C6" s="93" t="str">
        <x:v>Resolve support requests and service issues</x:v>
      </x:c>
      <x:c r="D6" s="93" t="str">
        <x:v>Customers; support contacts</x:v>
      </x:c>
      <x:c r="E6" s="93" t="str">
        <x:v>Name; email; support content; attachments</x:v>
      </x:c>
      <x:c r="F6" s="93" t="str">
        <x:v>Contract / service delivery</x:v>
      </x:c>
      <x:c r="G6" s="93" t="str">
        <x:v>ITSM platform; support personnel</x:v>
      </x:c>
      <x:c r="H6" s="93" t="str">
        <x:v>India / EEA support operations</x:v>
      </x:c>
      <x:c r="I6" s="93" t="str">
        <x:v>RBAC; ticket permissions; logging</x:v>
      </x:c>
      <x:c r="J6" s="93" t="str">
        <x:v>Defined</x:v>
      </x:c>
      <x:c r="K6" s="59" t="str">
        <x:v>No</x:v>
      </x:c>
    </x:row>
    <x:row r="7" ht="36" customHeight="1">
      <x:c r="A7" s="92" t="str">
        <x:v>PIA-003</x:v>
      </x:c>
      <x:c r="B7" s="93" t="str">
        <x:v>Product Analytics</x:v>
      </x:c>
      <x:c r="C7" s="93" t="str">
        <x:v>Understand product usage and improve service</x:v>
      </x:c>
      <x:c r="D7" s="93" t="str">
        <x:v>End users</x:v>
      </x:c>
      <x:c r="E7" s="93" t="str">
        <x:v>User ID; usage events; device/browser metadata</x:v>
      </x:c>
      <x:c r="F7" s="93" t="str">
        <x:v>Consent / configurable analytics basis</x:v>
      </x:c>
      <x:c r="G7" s="93" t="str">
        <x:v>Analytics platform</x:v>
      </x:c>
      <x:c r="H7" s="93" t="str">
        <x:v>Global SaaS region</x:v>
      </x:c>
      <x:c r="I7" s="93" t="str">
        <x:v>Pseudonymisation; access control</x:v>
      </x:c>
      <x:c r="J7" s="93" t="str">
        <x:v>Needs review</x:v>
      </x:c>
      <x:c r="K7" s="59" t="str">
        <x:v>Yes</x:v>
      </x:c>
    </x:row>
    <x:row r="8" ht="36" customHeight="1">
      <x:c r="A8" s="92" t="str">
        <x:v>PIA-004</x:v>
      </x:c>
      <x:c r="B8" s="93" t="str">
        <x:v>Marketing Communications</x:v>
      </x:c>
      <x:c r="C8" s="93" t="str">
        <x:v>Send product updates and marketing communications</x:v>
      </x:c>
      <x:c r="D8" s="93" t="str">
        <x:v>Leads; customers</x:v>
      </x:c>
      <x:c r="E8" s="93" t="str">
        <x:v>Name; email; preferences; interaction history</x:v>
      </x:c>
      <x:c r="F8" s="93" t="str">
        <x:v>Consent / applicable direct-marketing basis</x:v>
      </x:c>
      <x:c r="G8" s="93" t="str">
        <x:v>Email service provider</x:v>
      </x:c>
      <x:c r="H8" s="93" t="str">
        <x:v>Global SaaS region</x:v>
      </x:c>
      <x:c r="I8" s="93" t="str">
        <x:v>Preference center; access control</x:v>
      </x:c>
      <x:c r="J8" s="93" t="str">
        <x:v>Defined</x:v>
      </x:c>
      <x:c r="K8" s="59" t="str">
        <x:v>No</x:v>
      </x:c>
    </x:row>
    <x:row r="9" ht="36" customHeight="1">
      <x:c r="A9" s="92" t="str">
        <x:v>PIA-005</x:v>
      </x:c>
      <x:c r="B9" s="93" t="str">
        <x:v>Employee HR Administration</x:v>
      </x:c>
      <x:c r="C9" s="93" t="str">
        <x:v>Administer employment and benefits</x:v>
      </x:c>
      <x:c r="D9" s="93" t="str">
        <x:v>Employees</x:v>
      </x:c>
      <x:c r="E9" s="93" t="str">
        <x:v>Identity; contact; payroll-related information; HR records</x:v>
      </x:c>
      <x:c r="F9" s="93" t="str">
        <x:v>Employment / legal obligations</x:v>
      </x:c>
      <x:c r="G9" s="93" t="str">
        <x:v>HR platform; payroll processor</x:v>
      </x:c>
      <x:c r="H9" s="93" t="str">
        <x:v>India</x:v>
      </x:c>
      <x:c r="I9" s="93" t="str">
        <x:v>RBAC; encryption; restricted HR access</x:v>
      </x:c>
      <x:c r="J9" s="93" t="str">
        <x:v>Defined</x:v>
      </x:c>
      <x:c r="K9" s="59" t="str">
        <x:v>No</x:v>
      </x:c>
    </x:row>
    <x:row r="10" ht="36" customHeight="1">
      <x:c r="A10" s="92" t="str">
        <x:v>PIA-006</x:v>
      </x:c>
      <x:c r="B10" s="93" t="str">
        <x:v>Recruitment</x:v>
      </x:c>
      <x:c r="C10" s="93" t="str">
        <x:v>Manage hiring pipeline</x:v>
      </x:c>
      <x:c r="D10" s="93" t="str">
        <x:v>Applicants</x:v>
      </x:c>
      <x:c r="E10" s="93" t="str">
        <x:v>CV; contact; employment history; interview notes</x:v>
      </x:c>
      <x:c r="F10" s="93" t="str">
        <x:v>Consent / recruitment process basis</x:v>
      </x:c>
      <x:c r="G10" s="93" t="str">
        <x:v>ATS provider</x:v>
      </x:c>
      <x:c r="H10" s="93" t="str">
        <x:v>India / global cloud</x:v>
      </x:c>
      <x:c r="I10" s="93" t="str">
        <x:v>RBAC; retention controls</x:v>
      </x:c>
      <x:c r="J10" s="93" t="str">
        <x:v>Needs review</x:v>
      </x:c>
      <x:c r="K10" s="59" t="str">
        <x:v>No</x:v>
      </x:c>
    </x:row>
    <x:row r="11" ht="36" customHeight="1">
      <x:c r="A11" s="92" t="str">
        <x:v>PIA-007</x:v>
      </x:c>
      <x:c r="B11" s="93" t="str">
        <x:v>Security Monitoring</x:v>
      </x:c>
      <x:c r="C11" s="93" t="str">
        <x:v>Detect and investigate security events</x:v>
      </x:c>
      <x:c r="D11" s="93" t="str">
        <x:v>Users; employees; admins</x:v>
      </x:c>
      <x:c r="E11" s="93" t="str">
        <x:v>User ID; IP address; device identifiers; security logs</x:v>
      </x:c>
      <x:c r="F11" s="93" t="str">
        <x:v>Security / legitimate business purpose; applicable law</x:v>
      </x:c>
      <x:c r="G11" s="93" t="str">
        <x:v>SIEM; endpoint provider</x:v>
      </x:c>
      <x:c r="H11" s="93" t="str">
        <x:v>Global cloud region</x:v>
      </x:c>
      <x:c r="I11" s="93" t="str">
        <x:v>SIEM; least privilege; logging</x:v>
      </x:c>
      <x:c r="J11" s="93" t="str">
        <x:v>Defined</x:v>
      </x:c>
      <x:c r="K11" s="59" t="str">
        <x:v>No</x:v>
      </x:c>
    </x:row>
    <x:row r="12" ht="36" customHeight="1">
      <x:c r="A12" s="92" t="str">
        <x:v>PIA-008</x:v>
      </x:c>
      <x:c r="B12" s="93" t="str">
        <x:v>Billing &amp; Invoicing</x:v>
      </x:c>
      <x:c r="C12" s="93" t="str">
        <x:v>Invoice customers and reconcile payments</x:v>
      </x:c>
      <x:c r="D12" s="93" t="str">
        <x:v>Customer contacts; billing users</x:v>
      </x:c>
      <x:c r="E12" s="93" t="str">
        <x:v>Name; email; billing details; transaction references</x:v>
      </x:c>
      <x:c r="F12" s="93" t="str">
        <x:v>Contract / legal obligations</x:v>
      </x:c>
      <x:c r="G12" s="93" t="str">
        <x:v>Accounting system; payment processor</x:v>
      </x:c>
      <x:c r="H12" s="93" t="str">
        <x:v>India / global processor</x:v>
      </x:c>
      <x:c r="I12" s="93" t="str">
        <x:v>RBAC; encryption; audit trail</x:v>
      </x:c>
      <x:c r="J12" s="93" t="str">
        <x:v>Defined</x:v>
      </x:c>
      <x:c r="K12" s="59" t="str">
        <x:v>No</x:v>
      </x:c>
    </x:row>
    <x:row r="13" ht="36" customHeight="1">
      <x:c r="A13" s="92" t="str">
        <x:v>PIA-009</x:v>
      </x:c>
      <x:c r="B13" s="93" t="str">
        <x:v>Vendor Management</x:v>
      </x:c>
      <x:c r="C13" s="93" t="str">
        <x:v>Assess and manage suppliers</x:v>
      </x:c>
      <x:c r="D13" s="93" t="str">
        <x:v>Vendor contacts</x:v>
      </x:c>
      <x:c r="E13" s="93" t="str">
        <x:v>Name; email; role; due diligence information</x:v>
      </x:c>
      <x:c r="F13" s="93" t="str">
        <x:v>Contract / legitimate business purpose</x:v>
      </x:c>
      <x:c r="G13" s="93" t="str">
        <x:v>TPRM platform; procurement</x:v>
      </x:c>
      <x:c r="H13" s="93" t="str">
        <x:v>India</x:v>
      </x:c>
      <x:c r="I13" s="93" t="str">
        <x:v>RBAC; secure storage; evidence retention</x:v>
      </x:c>
      <x:c r="J13" s="93" t="str">
        <x:v>Missing</x:v>
      </x:c>
      <x:c r="K13" s="59" t="str">
        <x:v>No</x:v>
      </x:c>
    </x:row>
    <x:row r="14" ht="36" customHeight="1">
      <x:c r="A14" s="94" t="str">
        <x:v>PIA-010</x:v>
      </x:c>
      <x:c r="B14" s="95" t="str">
        <x:v>Website Cookies &amp; Preference Management</x:v>
      </x:c>
      <x:c r="C14" s="95" t="str">
        <x:v>Operate site functionality and manage optional analytics</x:v>
      </x:c>
      <x:c r="D14" s="95" t="str">
        <x:v>Website visitors</x:v>
      </x:c>
      <x:c r="E14" s="95" t="str">
        <x:v>Cookie IDs; device data; IP address; preferences</x:v>
      </x:c>
      <x:c r="F14" s="95" t="str">
        <x:v>Consent where required; necessary cookies for core function</x:v>
      </x:c>
      <x:c r="G14" s="95" t="str">
        <x:v>CMP / analytics providers</x:v>
      </x:c>
      <x:c r="H14" s="95" t="str">
        <x:v>Global cloud region</x:v>
      </x:c>
      <x:c r="I14" s="95" t="str">
        <x:v>CMP controls; consent logs</x:v>
      </x:c>
      <x:c r="J14" s="95" t="str">
        <x:v>Missing</x:v>
      </x:c>
      <x:c r="K14" s="60" t="str">
        <x:v>Yes</x:v>
      </x:c>
    </x:row>
    <x:row r="15">
      <x:c r="A15" s="84"/>
      <x:c r="B15" s="84"/>
      <x:c r="C15" s="84"/>
      <x:c r="D15" s="84"/>
      <x:c r="E15" s="84"/>
      <x:c r="F15" s="84"/>
      <x:c r="G15" s="84"/>
      <x:c r="H15" s="84"/>
      <x:c r="I15" s="84"/>
      <x:c r="J15" s="84"/>
    </x:row>
    <x:row r="16">
      <x:c r="A16" s="84"/>
      <x:c r="B16" s="84"/>
      <x:c r="C16" s="84"/>
      <x:c r="D16" s="84"/>
      <x:c r="E16" s="84"/>
      <x:c r="F16" s="84"/>
      <x:c r="G16" s="84"/>
      <x:c r="H16" s="84"/>
      <x:c r="I16" s="84"/>
      <x:c r="J16" s="84"/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</x:row>
  </x:sheetData>
  <x:mergeCells>
    <x:mergeCell ref="A1:J1"/>
    <x:mergeCell ref="A2:J2"/>
  </x:mergeCells>
  <x:dataValidations count="2">
    <x:dataValidation type="list" sqref="J5:J14">
      <x:formula1>"Defined,Needs review,Missing"</x:formula1>
    </x:dataValidation>
    <x:dataValidation type="list" sqref="K5:K1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6020c1dc669405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1" hidden="0" customWidth="1"/>
    <x:col min="3" max="3" width="34" hidden="0" customWidth="1"/>
    <x:col min="4" max="4" width="14" hidden="0" customWidth="1"/>
    <x:col min="5" max="5" width="13" hidden="0" customWidth="1"/>
    <x:col min="6" max="6" width="14" hidden="0" customWidth="1"/>
    <x:col min="7" max="7" width="13" hidden="0" customWidth="1"/>
    <x:col min="8" max="8" width="15" hidden="0" customWidth="1"/>
    <x:col min="9" max="9" width="13" hidden="0" customWidth="1"/>
    <x:col min="10" max="10" width="13" hidden="0" customWidth="1"/>
    <x:col min="11" max="11" width="20" hidden="0" customWidth="1"/>
    <x:col min="12" max="12" width="14" hidden="0" customWidth="1"/>
  </x:cols>
  <x:sheetData>
    <x:row r="1" ht="28" customHeight="1">
      <x:c r="A1" s="5" t="str">
        <x:v>Privacy Risk Register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83" t="str">
        <x:v>Risk scoring is a portfolio methodology, not a statutory calculation. Scores drive prioritisation and remediation.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</x:row>
    <x:row r="4">
      <x:c r="A4" s="26" t="str">
        <x:v>Risk ID</x:v>
      </x:c>
      <x:c r="B4" s="27" t="str">
        <x:v>Activity ID</x:v>
      </x:c>
      <x:c r="C4" s="27" t="str">
        <x:v>Privacy Risk</x:v>
      </x:c>
      <x:c r="D4" s="27" t="str">
        <x:v>Data Impact (1-5)</x:v>
      </x:c>
      <x:c r="E4" s="27" t="str">
        <x:v>Likelihood (1-5)</x:v>
      </x:c>
      <x:c r="F4" s="27" t="str">
        <x:v>Volume / Scope (1-5)</x:v>
      </x:c>
      <x:c r="G4" s="27" t="str">
        <x:v>Inherent Score</x:v>
      </x:c>
      <x:c r="H4" s="27" t="str">
        <x:v>Control Strength (1-5)</x:v>
      </x:c>
      <x:c r="I4" s="27" t="str">
        <x:v>Risk Tier</x:v>
      </x:c>
      <x:c r="J4" s="27" t="str">
        <x:v>Treatment</x:v>
      </x:c>
      <x:c r="K4" s="27" t="str">
        <x:v>Owner</x:v>
      </x:c>
      <x:c r="L4" s="57" t="str">
        <x:v>Status</x:v>
      </x:c>
    </x:row>
    <x:row r="5">
      <x:c r="A5" s="92" t="str">
        <x:v>PR-001</x:v>
      </x:c>
      <x:c r="B5" s="93" t="str">
        <x:v>PIA-003</x:v>
      </x:c>
      <x:c r="C5" s="93" t="str">
        <x:v>Behavioral analytics may collect more data than necessary for stated product-improvement purposes.</x:v>
      </x:c>
      <x:c r="D5" s="109" t="n">
        <x:v>5</x:v>
      </x:c>
      <x:c r="E5" s="109" t="n">
        <x:v>4</x:v>
      </x:c>
      <x:c r="F5" s="109" t="n">
        <x:v>4</x:v>
      </x:c>
      <x:c r="G5" s="109" t="n">
        <x:f>D5*E5</x:f>
        <x:v>20</x:v>
      </x:c>
      <x:c r="H5" s="110" t="n">
        <x:v>3</x:v>
      </x:c>
      <x:c r="I5" s="93" t="str">
        <x:f>IF(G5&gt;=20,"Critical",IF(G5&gt;=12,"High",IF(G5&gt;=6,"Medium","Low")))</x:f>
        <x:v>Critical</x:v>
      </x:c>
      <x:c r="J5" s="93" t="str">
        <x:v>Reduce</x:v>
      </x:c>
      <x:c r="K5" s="50" t="str">
        <x:v>Privacy Lead</x:v>
      </x:c>
      <x:c r="L5" s="59" t="str">
        <x:v>Open</x:v>
      </x:c>
    </x:row>
    <x:row r="6">
      <x:c r="A6" s="92" t="str">
        <x:v>PR-002</x:v>
      </x:c>
      <x:c r="B6" s="93" t="str">
        <x:v>PIA-010</x:v>
      </x:c>
      <x:c r="C6" s="93" t="str">
        <x:v>Optional analytics cookies may be deployed without demonstrable preference/consent records.</x:v>
      </x:c>
      <x:c r="D6" s="109" t="n">
        <x:v>4</x:v>
      </x:c>
      <x:c r="E6" s="109" t="n">
        <x:v>4</x:v>
      </x:c>
      <x:c r="F6" s="109" t="n">
        <x:v>4</x:v>
      </x:c>
      <x:c r="G6" s="109" t="n">
        <x:f>D6*E6</x:f>
        <x:v>16</x:v>
      </x:c>
      <x:c r="H6" s="110" t="n">
        <x:v>2</x:v>
      </x:c>
      <x:c r="I6" s="93" t="str">
        <x:f>IF(G6&gt;=20,"Critical",IF(G6&gt;=12,"High",IF(G6&gt;=6,"Medium","Low")))</x:f>
        <x:v>High</x:v>
      </x:c>
      <x:c r="J6" s="93" t="str">
        <x:v>Reduce</x:v>
      </x:c>
      <x:c r="K6" s="50" t="str">
        <x:v>Web Product Owner</x:v>
      </x:c>
      <x:c r="L6" s="59" t="str">
        <x:v>Open</x:v>
      </x:c>
    </x:row>
    <x:row r="7">
      <x:c r="A7" s="92" t="str">
        <x:v>PR-003</x:v>
      </x:c>
      <x:c r="B7" s="93" t="str">
        <x:v>PIA-009</x:v>
      </x:c>
      <x:c r="C7" s="93" t="str">
        <x:v>Vendor contact and due-diligence data may be retained without a defined lifecycle.</x:v>
      </x:c>
      <x:c r="D7" s="109" t="n">
        <x:v>3</x:v>
      </x:c>
      <x:c r="E7" s="109" t="n">
        <x:v>3</x:v>
      </x:c>
      <x:c r="F7" s="109" t="n">
        <x:v>3</x:v>
      </x:c>
      <x:c r="G7" s="109" t="n">
        <x:f>D7*E7</x:f>
        <x:v>9</x:v>
      </x:c>
      <x:c r="H7" s="110" t="n">
        <x:v>2</x:v>
      </x:c>
      <x:c r="I7" s="93" t="str">
        <x:f>IF(G7&gt;=20,"Critical",IF(G7&gt;=12,"High",IF(G7&gt;=6,"Medium","Low")))</x:f>
        <x:v>Medium</x:v>
      </x:c>
      <x:c r="J7" s="93" t="str">
        <x:v>Reduce</x:v>
      </x:c>
      <x:c r="K7" s="50" t="str">
        <x:v>Procurement Lead</x:v>
      </x:c>
      <x:c r="L7" s="59" t="str">
        <x:v>Open</x:v>
      </x:c>
    </x:row>
    <x:row r="8">
      <x:c r="A8" s="92" t="str">
        <x:v>PR-004</x:v>
      </x:c>
      <x:c r="B8" s="93" t="str">
        <x:v>PIA-006</x:v>
      </x:c>
      <x:c r="C8" s="93" t="str">
        <x:v>Applicant records may remain in the recruitment system beyond the intended retention period.</x:v>
      </x:c>
      <x:c r="D8" s="109" t="n">
        <x:v>3</x:v>
      </x:c>
      <x:c r="E8" s="109" t="n">
        <x:v>3</x:v>
      </x:c>
      <x:c r="F8" s="109" t="n">
        <x:v>3</x:v>
      </x:c>
      <x:c r="G8" s="109" t="n">
        <x:f>D8*E8</x:f>
        <x:v>9</x:v>
      </x:c>
      <x:c r="H8" s="110" t="n">
        <x:v>3</x:v>
      </x:c>
      <x:c r="I8" s="93" t="str">
        <x:f>IF(G8&gt;=20,"Critical",IF(G8&gt;=12,"High",IF(G8&gt;=6,"Medium","Low")))</x:f>
        <x:v>Medium</x:v>
      </x:c>
      <x:c r="J8" s="93" t="str">
        <x:v>Reduce</x:v>
      </x:c>
      <x:c r="K8" s="50" t="str">
        <x:v>HR Lead</x:v>
      </x:c>
      <x:c r="L8" s="59" t="str">
        <x:v>In Progress</x:v>
      </x:c>
    </x:row>
    <x:row r="9">
      <x:c r="A9" s="92" t="str">
        <x:v>PR-005</x:v>
      </x:c>
      <x:c r="B9" s="93" t="str">
        <x:v>PIA-007</x:v>
      </x:c>
      <x:c r="C9" s="93" t="str">
        <x:v>Security logs may include identifiers that are retained longer than operational need.</x:v>
      </x:c>
      <x:c r="D9" s="109" t="n">
        <x:v>4</x:v>
      </x:c>
      <x:c r="E9" s="109" t="n">
        <x:v>2</x:v>
      </x:c>
      <x:c r="F9" s="109" t="n">
        <x:v>4</x:v>
      </x:c>
      <x:c r="G9" s="109" t="n">
        <x:f>D9*E9</x:f>
        <x:v>8</x:v>
      </x:c>
      <x:c r="H9" s="110" t="n">
        <x:v>4</x:v>
      </x:c>
      <x:c r="I9" s="93" t="str">
        <x:f>IF(G9&gt;=20,"Critical",IF(G9&gt;=12,"High",IF(G9&gt;=6,"Medium","Low")))</x:f>
        <x:v>Medium</x:v>
      </x:c>
      <x:c r="J9" s="93" t="str">
        <x:v>Monitor</x:v>
      </x:c>
      <x:c r="K9" s="50" t="str">
        <x:v>SOC Manager</x:v>
      </x:c>
      <x:c r="L9" s="59" t="str">
        <x:v>Open</x:v>
      </x:c>
    </x:row>
    <x:row r="10">
      <x:c r="A10" s="92" t="str">
        <x:v>PR-006</x:v>
      </x:c>
      <x:c r="B10" s="93" t="str">
        <x:v>PIA-002</x:v>
      </x:c>
      <x:c r="C10" s="93" t="str">
        <x:v>Support tickets or attachments may contain personal data not anticipated at collection.</x:v>
      </x:c>
      <x:c r="D10" s="109" t="n">
        <x:v>4</x:v>
      </x:c>
      <x:c r="E10" s="109" t="n">
        <x:v>3</x:v>
      </x:c>
      <x:c r="F10" s="109" t="n">
        <x:v>4</x:v>
      </x:c>
      <x:c r="G10" s="109" t="n">
        <x:f>D10*E10</x:f>
        <x:v>12</x:v>
      </x:c>
      <x:c r="H10" s="110" t="n">
        <x:v>3</x:v>
      </x:c>
      <x:c r="I10" s="93" t="str">
        <x:f>IF(G10&gt;=20,"Critical",IF(G10&gt;=12,"High",IF(G10&gt;=6,"Medium","Low")))</x:f>
        <x:v>High</x:v>
      </x:c>
      <x:c r="J10" s="93" t="str">
        <x:v>Reduce</x:v>
      </x:c>
      <x:c r="K10" s="50" t="str">
        <x:v>Support Operations</x:v>
      </x:c>
      <x:c r="L10" s="59" t="str">
        <x:v>Open</x:v>
      </x:c>
    </x:row>
    <x:row r="11">
      <x:c r="A11" s="92" t="str">
        <x:v>PR-007</x:v>
      </x:c>
      <x:c r="B11" s="93" t="str">
        <x:v>PIA-001</x:v>
      </x:c>
      <x:c r="C11" s="93" t="str">
        <x:v>Excessive account attributes may be visible to users or admins who do not require them.</x:v>
      </x:c>
      <x:c r="D11" s="109" t="n">
        <x:v>3</x:v>
      </x:c>
      <x:c r="E11" s="109" t="n">
        <x:v>2</x:v>
      </x:c>
      <x:c r="F11" s="109" t="n">
        <x:v>3</x:v>
      </x:c>
      <x:c r="G11" s="109" t="n">
        <x:f>D11*E11</x:f>
        <x:v>6</x:v>
      </x:c>
      <x:c r="H11" s="110" t="n">
        <x:v>4</x:v>
      </x:c>
      <x:c r="I11" s="93" t="str">
        <x:f>IF(G11&gt;=20,"Critical",IF(G11&gt;=12,"High",IF(G11&gt;=6,"Medium","Low")))</x:f>
        <x:v>Medium</x:v>
      </x:c>
      <x:c r="J11" s="93" t="str">
        <x:v>Monitor</x:v>
      </x:c>
      <x:c r="K11" s="50" t="str">
        <x:v>IAM Manager</x:v>
      </x:c>
      <x:c r="L11" s="59" t="str">
        <x:v>Closed</x:v>
      </x:c>
    </x:row>
    <x:row r="12">
      <x:c r="A12" s="92" t="str">
        <x:v>PR-008</x:v>
      </x:c>
      <x:c r="B12" s="93" t="str">
        <x:v>PIA-004</x:v>
      </x:c>
      <x:c r="C12" s="93" t="str">
        <x:v>Marketing preference changes may not propagate to all downstream communication systems.</x:v>
      </x:c>
      <x:c r="D12" s="109" t="n">
        <x:v>4</x:v>
      </x:c>
      <x:c r="E12" s="109" t="n">
        <x:v>3</x:v>
      </x:c>
      <x:c r="F12" s="109" t="n">
        <x:v>3</x:v>
      </x:c>
      <x:c r="G12" s="109" t="n">
        <x:f>D12*E12</x:f>
        <x:v>12</x:v>
      </x:c>
      <x:c r="H12" s="110" t="n">
        <x:v>3</x:v>
      </x:c>
      <x:c r="I12" s="93" t="str">
        <x:f>IF(G12&gt;=20,"Critical",IF(G12&gt;=12,"High",IF(G12&gt;=6,"Medium","Low")))</x:f>
        <x:v>High</x:v>
      </x:c>
      <x:c r="J12" s="93" t="str">
        <x:v>Reduce</x:v>
      </x:c>
      <x:c r="K12" s="50" t="str">
        <x:v>Marketing Operations</x:v>
      </x:c>
      <x:c r="L12" s="59" t="str">
        <x:v>Open</x:v>
      </x:c>
    </x:row>
    <x:row r="13">
      <x:c r="A13" s="92" t="str">
        <x:v>PR-009</x:v>
      </x:c>
      <x:c r="B13" s="93" t="str">
        <x:v>PIA-005</x:v>
      </x:c>
      <x:c r="C13" s="93" t="str">
        <x:v>HR records may be accessible outside the restricted HR administrator group.</x:v>
      </x:c>
      <x:c r="D13" s="109" t="n">
        <x:v>5</x:v>
      </x:c>
      <x:c r="E13" s="109" t="n">
        <x:v>2</x:v>
      </x:c>
      <x:c r="F13" s="109" t="n">
        <x:v>3</x:v>
      </x:c>
      <x:c r="G13" s="109" t="n">
        <x:f>D13*E13</x:f>
        <x:v>10</x:v>
      </x:c>
      <x:c r="H13" s="110" t="n">
        <x:v>4</x:v>
      </x:c>
      <x:c r="I13" s="93" t="str">
        <x:f>IF(G13&gt;=20,"Critical",IF(G13&gt;=12,"High",IF(G13&gt;=6,"Medium","Low")))</x:f>
        <x:v>Medium</x:v>
      </x:c>
      <x:c r="J13" s="93" t="str">
        <x:v>Reduce</x:v>
      </x:c>
      <x:c r="K13" s="50" t="str">
        <x:v>HR Systems Owner</x:v>
      </x:c>
      <x:c r="L13" s="59" t="str">
        <x:v>Open</x:v>
      </x:c>
    </x:row>
    <x:row r="14">
      <x:c r="A14" s="94" t="str">
        <x:v>PR-010</x:v>
      </x:c>
      <x:c r="B14" s="95" t="str">
        <x:v>PIA-008</x:v>
      </x:c>
      <x:c r="C14" s="95" t="str">
        <x:v>Billing records may be retained in multiple systems without coordinated deletion rules.</x:v>
      </x:c>
      <x:c r="D14" s="111" t="n">
        <x:v>4</x:v>
      </x:c>
      <x:c r="E14" s="111" t="n">
        <x:v>3</x:v>
      </x:c>
      <x:c r="F14" s="111" t="n">
        <x:v>3</x:v>
      </x:c>
      <x:c r="G14" s="111" t="n">
        <x:f>D14*E14</x:f>
        <x:v>12</x:v>
      </x:c>
      <x:c r="H14" s="112" t="n">
        <x:v>3</x:v>
      </x:c>
      <x:c r="I14" s="95" t="str">
        <x:f>IF(G14&gt;=20,"Critical",IF(G14&gt;=12,"High",IF(G14&gt;=6,"Medium","Low")))</x:f>
        <x:v>High</x:v>
      </x:c>
      <x:c r="J14" s="95" t="str">
        <x:v>Reduce</x:v>
      </x:c>
      <x:c r="K14" s="52" t="str">
        <x:v>Finance Systems Owner</x:v>
      </x:c>
      <x:c r="L14" s="60" t="str">
        <x:v>Open</x:v>
      </x:c>
    </x:row>
    <x:row r="15">
      <x:c r="A15" s="84"/>
      <x:c r="B15" s="84"/>
      <x:c r="C15" s="84"/>
      <x:c r="D15" s="84"/>
      <x:c r="E15" s="84"/>
      <x:c r="F15" s="84"/>
      <x:c r="G15" s="84"/>
      <x:c r="H15" s="84"/>
      <x:c r="I15" s="84"/>
      <x:c r="J15" s="84"/>
    </x:row>
    <x:row r="16">
      <x:c r="A16" s="84"/>
      <x:c r="B16" s="84"/>
      <x:c r="C16" s="84"/>
      <x:c r="D16" s="84"/>
      <x:c r="E16" s="84"/>
      <x:c r="F16" s="84"/>
      <x:c r="G16" s="84"/>
      <x:c r="H16" s="84"/>
      <x:c r="I16" s="84"/>
      <x:c r="J16" s="84"/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</x:row>
  </x:sheetData>
  <x:mergeCells>
    <x:mergeCell ref="A1:J1"/>
    <x:mergeCell ref="A2:J2"/>
  </x:mergeCells>
  <x:conditionalFormatting sqref="I5:I14">
    <x:cfRule type="expression" dxfId="0" priority="1">
      <x:formula>I5="Critical"</x:formula>
    </x:cfRule>
    <x:cfRule type="expression" dxfId="1" priority="2">
      <x:formula>I5="High"</x:formula>
    </x:cfRule>
    <x:cfRule type="expression" dxfId="2" priority="3">
      <x:formula>I5="Medium"</x:formula>
    </x:cfRule>
  </x:conditionalFormatting>
  <x:dataValidations count="2">
    <x:dataValidation type="list" sqref="H5:H14">
      <x:formula1>"1,2,3,4,5"</x:formula1>
    </x:dataValidation>
    <x:dataValidation type="list" sqref="L5:L14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f1c346777e4383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30" hidden="0" customWidth="1"/>
    <x:col min="4" max="4" width="34" hidden="0" customWidth="1"/>
    <x:col min="5" max="5" width="36" hidden="0" customWidth="1"/>
    <x:col min="6" max="6" width="14" hidden="0" customWidth="1"/>
    <x:col min="7" max="7" width="20" hidden="0" customWidth="1"/>
    <x:col min="8" max="8" width="14" hidden="0" customWidth="1"/>
    <x:col min="9" max="9" width="14" hidden="0" customWidth="1"/>
    <x:col min="10" max="10" width="14" hidden="0" customWidth="1"/>
  </x:cols>
  <x:sheetData>
    <x:row r="1" ht="28" customHeight="1">
      <x:c r="A1" s="5" t="str">
        <x:v>Data Protection Impact Assessment (DPIA)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83" t="str">
        <x:v>Simulated DPIA for PIA-003 Product Analytics. GDPR Article 35 is used as a reference point for high-risk processing; assess applicability under the actual legal context.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</x:row>
    <x:row r="4">
      <x:c r="A4" s="26" t="str">
        <x:v>DPIA Item</x:v>
      </x:c>
      <x:c r="B4" s="27" t="str">
        <x:v>Assessment Question</x:v>
      </x:c>
      <x:c r="C4" s="27" t="str">
        <x:v>Current State</x:v>
      </x:c>
      <x:c r="D4" s="27" t="str">
        <x:v>Risk / Concern</x:v>
      </x:c>
      <x:c r="E4" s="27" t="str">
        <x:v>Safeguard</x:v>
      </x:c>
      <x:c r="F4" s="27" t="str">
        <x:v>Residual Risk</x:v>
      </x:c>
      <x:c r="G4" s="27" t="str">
        <x:v>Owner</x:v>
      </x:c>
      <x:c r="H4" s="27" t="str">
        <x:v>Target Date</x:v>
      </x:c>
      <x:c r="I4" s="27" t="str">
        <x:v>Status</x:v>
      </x:c>
      <x:c r="J4" s="57" t="str">
        <x:v>DPIA Required?</x:v>
      </x:c>
    </x:row>
    <x:row r="5">
      <x:c r="A5" s="92" t="str">
        <x:v>DPIA-01</x:v>
      </x:c>
      <x:c r="B5" s="93" t="str">
        <x:v>Processing description</x:v>
      </x:c>
      <x:c r="C5" s="93" t="str">
        <x:v>Product analytics records usage events linked to pseudonymous user IDs and device/browser metadata.</x:v>
      </x:c>
      <x:c r="D5" s="93" t="str">
        <x:v>Purpose and scope must be clearly documented.</x:v>
      </x:c>
      <x:c r="E5" s="93" t="str">
        <x:v>Document data-flow and field-level collection inventory.</x:v>
      </x:c>
      <x:c r="F5" s="93" t="str">
        <x:v>Medium</x:v>
      </x:c>
      <x:c r="G5" s="93" t="str">
        <x:v>Product Analytics Lead</x:v>
      </x:c>
      <x:c r="H5" s="93" t="str">
        <x:v>2026-10-15</x:v>
      </x:c>
      <x:c r="I5" s="93" t="str">
        <x:v>Open</x:v>
      </x:c>
      <x:c r="J5" s="117" t="str">
        <x:v>Yes</x:v>
      </x:c>
    </x:row>
    <x:row r="6">
      <x:c r="A6" s="92" t="str">
        <x:v>DPIA-02</x:v>
      </x:c>
      <x:c r="B6" s="93" t="str">
        <x:v>Necessity and proportionality</x:v>
      </x:c>
      <x:c r="C6" s="93" t="str">
        <x:v>Analytics is used for service improvement and UX measurement.</x:v>
      </x:c>
      <x:c r="D6" s="93" t="str">
        <x:v>Some event fields may not be necessary for each purpose.</x:v>
      </x:c>
      <x:c r="E6" s="93" t="str">
        <x:v>Minimise event fields; separate optional analytics from core service telemetry.</x:v>
      </x:c>
      <x:c r="F6" s="93" t="str">
        <x:v>Medium</x:v>
      </x:c>
      <x:c r="G6" s="93" t="str">
        <x:v>Privacy Lead</x:v>
      </x:c>
      <x:c r="H6" s="93" t="str">
        <x:v>2026-10-18</x:v>
      </x:c>
      <x:c r="I6" s="93" t="str">
        <x:v>Open</x:v>
      </x:c>
      <x:c r="J6" s="117" t="str">
        <x:v>Yes</x:v>
      </x:c>
    </x:row>
    <x:row r="7">
      <x:c r="A7" s="92" t="str">
        <x:v>DPIA-03</x:v>
      </x:c>
      <x:c r="B7" s="93" t="str">
        <x:v>Transparency</x:v>
      </x:c>
      <x:c r="C7" s="93" t="str">
        <x:v>Privacy notice mentions analytics but lacks detailed purpose/category explanation.</x:v>
      </x:c>
      <x:c r="D7" s="93" t="str">
        <x:v>Users may not understand all analytics processing.</x:v>
      </x:c>
      <x:c r="E7" s="93" t="str">
        <x:v>Update notice with clear purpose, data categories, provider information and preference mechanism.</x:v>
      </x:c>
      <x:c r="F7" s="93" t="str">
        <x:v>Medium</x:v>
      </x:c>
      <x:c r="G7" s="93" t="str">
        <x:v>Privacy Lead</x:v>
      </x:c>
      <x:c r="H7" s="93" t="str">
        <x:v>2026-10-25</x:v>
      </x:c>
      <x:c r="I7" s="93" t="str">
        <x:v>Open</x:v>
      </x:c>
      <x:c r="J7" s="117" t="str">
        <x:v>Yes</x:v>
      </x:c>
    </x:row>
    <x:row r="8">
      <x:c r="A8" s="92" t="str">
        <x:v>DPIA-04</x:v>
      </x:c>
      <x:c r="B8" s="93" t="str">
        <x:v>User choice / withdrawal</x:v>
      </x:c>
      <x:c r="C8" s="93" t="str">
        <x:v>Preference management exists but evidence of downstream enforcement is incomplete.</x:v>
      </x:c>
      <x:c r="D8" s="93" t="str">
        <x:v>Withdrawal may not stop optional processing consistently.</x:v>
      </x:c>
      <x:c r="E8" s="93" t="str">
        <x:v>Test withdrawal propagation across analytics providers and retain audit evidence.</x:v>
      </x:c>
      <x:c r="F8" s="93" t="str">
        <x:v>High</x:v>
      </x:c>
      <x:c r="G8" s="93" t="str">
        <x:v>Engineering Lead</x:v>
      </x:c>
      <x:c r="H8" s="93" t="str">
        <x:v>2026-11-05</x:v>
      </x:c>
      <x:c r="I8" s="93" t="str">
        <x:v>Open</x:v>
      </x:c>
      <x:c r="J8" s="117" t="str">
        <x:v>Yes</x:v>
      </x:c>
    </x:row>
    <x:row r="9">
      <x:c r="A9" s="92" t="str">
        <x:v>DPIA-05</x:v>
      </x:c>
      <x:c r="B9" s="93" t="str">
        <x:v>Access control</x:v>
      </x:c>
      <x:c r="C9" s="93" t="str">
        <x:v>Analytics platform access is role-based but admin group is broad.</x:v>
      </x:c>
      <x:c r="D9" s="93" t="str">
        <x:v>Internal misuse or unnecessary visibility is possible.</x:v>
      </x:c>
      <x:c r="E9" s="93" t="str">
        <x:v>Review analyst/admin roles and conduct quarterly access recertification.</x:v>
      </x:c>
      <x:c r="F9" s="93" t="str">
        <x:v>Low</x:v>
      </x:c>
      <x:c r="G9" s="93" t="str">
        <x:v>IAM Manager</x:v>
      </x:c>
      <x:c r="H9" s="93" t="str">
        <x:v>2026-10-20</x:v>
      </x:c>
      <x:c r="I9" s="93" t="str">
        <x:v>In Progress</x:v>
      </x:c>
      <x:c r="J9" s="117" t="str">
        <x:v>Yes</x:v>
      </x:c>
    </x:row>
    <x:row r="10">
      <x:c r="A10" s="92" t="str">
        <x:v>DPIA-06</x:v>
      </x:c>
      <x:c r="B10" s="93" t="str">
        <x:v>Retention</x:v>
      </x:c>
      <x:c r="C10" s="93" t="str">
        <x:v>Raw event data lacks a documented deletion schedule.</x:v>
      </x:c>
      <x:c r="D10" s="93" t="str">
        <x:v>Long retention increases exposure and storage burden.</x:v>
      </x:c>
      <x:c r="E10" s="93" t="str">
        <x:v>Define retention period by analytics purpose and automate deletion/anonymisation.</x:v>
      </x:c>
      <x:c r="F10" s="93" t="str">
        <x:v>High</x:v>
      </x:c>
      <x:c r="G10" s="93" t="str">
        <x:v>Data Platform Lead</x:v>
      </x:c>
      <x:c r="H10" s="93" t="str">
        <x:v>2026-11-10</x:v>
      </x:c>
      <x:c r="I10" s="93" t="str">
        <x:v>Open</x:v>
      </x:c>
      <x:c r="J10" s="117" t="str">
        <x:v>Yes</x:v>
      </x:c>
    </x:row>
    <x:row r="11">
      <x:c r="A11" s="92" t="str">
        <x:v>DPIA-07</x:v>
      </x:c>
      <x:c r="B11" s="93" t="str">
        <x:v>Third parties</x:v>
      </x:c>
      <x:c r="C11" s="93" t="str">
        <x:v>Analytics platform is hosted by an external processor.</x:v>
      </x:c>
      <x:c r="D11" s="93" t="str">
        <x:v>Processor assurance and contractual terms must be current.</x:v>
      </x:c>
      <x:c r="E11" s="93" t="str">
        <x:v>Review DPA, subprocessors and assurance report as part of TPRM.</x:v>
      </x:c>
      <x:c r="F11" s="93" t="str">
        <x:v>Medium</x:v>
      </x:c>
      <x:c r="G11" s="93" t="str">
        <x:v>TPRM Lead</x:v>
      </x:c>
      <x:c r="H11" s="93" t="str">
        <x:v>2026-10-30</x:v>
      </x:c>
      <x:c r="I11" s="93" t="str">
        <x:v>Open</x:v>
      </x:c>
      <x:c r="J11" s="117" t="str">
        <x:v>Yes</x:v>
      </x:c>
    </x:row>
    <x:row r="12">
      <x:c r="A12" s="92" t="str">
        <x:v>DPIA-08</x:v>
      </x:c>
      <x:c r="B12" s="93" t="str">
        <x:v>International processing</x:v>
      </x:c>
      <x:c r="C12" s="93" t="str">
        <x:v>Cloud region and support access may involve locations outside India.</x:v>
      </x:c>
      <x:c r="D12" s="93" t="str">
        <x:v>Cross-border implications require jurisdiction-specific assessment.</x:v>
      </x:c>
      <x:c r="E12" s="93" t="str">
        <x:v>Document processing locations and applicable transfer mechanism/contract requirements.</x:v>
      </x:c>
      <x:c r="F12" s="93" t="str">
        <x:v>Medium</x:v>
      </x:c>
      <x:c r="G12" s="93" t="str">
        <x:v>Privacy Lead</x:v>
      </x:c>
      <x:c r="H12" s="93" t="str">
        <x:v>2026-11-01</x:v>
      </x:c>
      <x:c r="I12" s="93" t="str">
        <x:v>Open</x:v>
      </x:c>
      <x:c r="J12" s="117" t="str">
        <x:v>Yes</x:v>
      </x:c>
    </x:row>
    <x:row r="13">
      <x:c r="A13" s="92" t="str">
        <x:v>DPIA-09</x:v>
      </x:c>
      <x:c r="B13" s="93" t="str">
        <x:v>Data rights</x:v>
      </x:c>
      <x:c r="C13" s="93" t="str">
        <x:v>Requests can be handled through the privacy inbox but analytics linkage is manual.</x:v>
      </x:c>
      <x:c r="D13" s="93" t="str">
        <x:v>Manual identification may delay fulfillment.</x:v>
      </x:c>
      <x:c r="E13" s="93" t="str">
        <x:v>Create documented lookup and suppression workflow with evidence retention.</x:v>
      </x:c>
      <x:c r="F13" s="93" t="str">
        <x:v>Medium</x:v>
      </x:c>
      <x:c r="G13" s="93" t="str">
        <x:v>Privacy Operations</x:v>
      </x:c>
      <x:c r="H13" s="93" t="str">
        <x:v>2026-11-08</x:v>
      </x:c>
      <x:c r="I13" s="93" t="str">
        <x:v>Open</x:v>
      </x:c>
      <x:c r="J13" s="117" t="str">
        <x:v>Yes</x:v>
      </x:c>
    </x:row>
    <x:row r="14">
      <x:c r="A14" s="94" t="str">
        <x:v>DPIA-10</x:v>
      </x:c>
      <x:c r="B14" s="95" t="str">
        <x:v>Residual assessment</x:v>
      </x:c>
      <x:c r="C14" s="95" t="str">
        <x:v>Following planned safeguards, two material risks remain until validated.</x:v>
      </x:c>
      <x:c r="D14" s="95" t="str">
        <x:v>Implementation status is not the same as validated effectiveness.</x:v>
      </x:c>
      <x:c r="E14" s="95" t="str">
        <x:v>Reperform DPIA review after safeguards are implemented and when risk materially changes.</x:v>
      </x:c>
      <x:c r="F14" s="95" t="str">
        <x:v>Medium</x:v>
      </x:c>
      <x:c r="G14" s="95" t="str">
        <x:v>Privacy Lead</x:v>
      </x:c>
      <x:c r="H14" s="95" t="str">
        <x:v>2026-11-20</x:v>
      </x:c>
      <x:c r="I14" s="95" t="str">
        <x:v>Open</x:v>
      </x:c>
      <x:c r="J14" s="118" t="str">
        <x:v>Yes</x:v>
      </x:c>
    </x:row>
    <x:row r="15">
      <x:c r="A15" s="84"/>
      <x:c r="B15" s="84"/>
      <x:c r="C15" s="84"/>
      <x:c r="D15" s="84"/>
      <x:c r="E15" s="84"/>
      <x:c r="F15" s="84"/>
      <x:c r="G15" s="84"/>
      <x:c r="H15" s="84"/>
      <x:c r="I15" s="84"/>
      <x:c r="J15" s="84"/>
    </x:row>
    <x:row r="16">
      <x:c r="A16" s="84"/>
      <x:c r="B16" s="84"/>
      <x:c r="C16" s="84"/>
      <x:c r="D16" s="84"/>
      <x:c r="E16" s="84"/>
      <x:c r="F16" s="84"/>
      <x:c r="G16" s="84"/>
      <x:c r="H16" s="84"/>
      <x:c r="I16" s="84"/>
      <x:c r="J16" s="84"/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</x:row>
  </x:sheetData>
  <x:mergeCells>
    <x:mergeCell ref="A1:J1"/>
    <x:mergeCell ref="A2:J2"/>
  </x:mergeCells>
  <x:dataValidations count="2">
    <x:dataValidation type="list" sqref="J5:J14">
      <x:formula1>"Yes,No"</x:formula1>
    </x:dataValidation>
    <x:dataValidation type="list" sqref="I5:I14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828c3157dd84f5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8" hidden="0" customWidth="1"/>
    <x:col min="3" max="3" width="20" hidden="0" customWidth="1"/>
    <x:col min="4" max="4" width="18" hidden="0" customWidth="1"/>
    <x:col min="5" max="5" width="14" hidden="0" customWidth="1"/>
    <x:col min="6" max="6" width="16" hidden="0" customWidth="1"/>
    <x:col min="7" max="7" width="27" hidden="0" customWidth="1"/>
    <x:col min="8" max="8" width="22" hidden="0" customWidth="1"/>
    <x:col min="9" max="9" width="14" hidden="0" customWidth="1"/>
    <x:col min="10" max="10" width="15" hidden="0" customWidth="1"/>
    <x:col min="11" max="11" width="30" hidden="0" customWidth="1"/>
  </x:cols>
  <x:sheetData>
    <x:row r="1" ht="28" customHeight="1">
      <x:c r="A1" s="5" t="str">
        <x:v>Data Principal / Data Subject Rights Tracker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83" t="str">
        <x:v>Simulated rights-request register. Actual timelines, identity checks and exemptions depend on the applicable law and processing context.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</x:row>
    <x:row r="4">
      <x:c r="A4" s="26" t="str">
        <x:v>Request ID</x:v>
      </x:c>
      <x:c r="B4" s="27" t="str">
        <x:v>Jurisdiction / Framework</x:v>
      </x:c>
      <x:c r="C4" s="27" t="str">
        <x:v>Request Type</x:v>
      </x:c>
      <x:c r="D4" s="27" t="str">
        <x:v>Requester Type</x:v>
      </x:c>
      <x:c r="E4" s="27" t="str">
        <x:v>Received Date</x:v>
      </x:c>
      <x:c r="F4" s="27" t="str">
        <x:v>Identity Verified</x:v>
      </x:c>
      <x:c r="G4" s="27" t="str">
        <x:v>Systems In Scope</x:v>
      </x:c>
      <x:c r="H4" s="27" t="str">
        <x:v>Owner</x:v>
      </x:c>
      <x:c r="I4" s="27" t="str">
        <x:v>Target Date</x:v>
      </x:c>
      <x:c r="J4" s="27" t="str">
        <x:v>Status</x:v>
      </x:c>
      <x:c r="K4" s="57" t="str">
        <x:v>Evidence / Notes</x:v>
      </x:c>
    </x:row>
    <x:row r="5">
      <x:c r="A5" s="92" t="str">
        <x:v>RR-001</x:v>
      </x:c>
      <x:c r="B5" s="93" t="str">
        <x:v>DPDP</x:v>
      </x:c>
      <x:c r="C5" s="93" t="str">
        <x:v>Correction / updating</x:v>
      </x:c>
      <x:c r="D5" s="93" t="str">
        <x:v>Customer</x:v>
      </x:c>
      <x:c r="E5" s="121" t="str">
        <x:v>2026-09-02</x:v>
      </x:c>
      <x:c r="F5" s="93" t="str">
        <x:v>Yes</x:v>
      </x:c>
      <x:c r="G5" s="93" t="str">
        <x:v>CRM; support; billing</x:v>
      </x:c>
      <x:c r="H5" s="93" t="str">
        <x:v>Privacy Ops</x:v>
      </x:c>
      <x:c r="I5" s="121" t="str">
        <x:v>2026-09-12</x:v>
      </x:c>
      <x:c r="J5" s="93" t="str">
        <x:v>Closed</x:v>
      </x:c>
      <x:c r="K5" s="59" t="str">
        <x:v>Change record retained</x:v>
      </x:c>
    </x:row>
    <x:row r="6">
      <x:c r="A6" s="92" t="str">
        <x:v>RR-002</x:v>
      </x:c>
      <x:c r="B6" s="93" t="str">
        <x:v>GDPR</x:v>
      </x:c>
      <x:c r="C6" s="93" t="str">
        <x:v>Access</x:v>
      </x:c>
      <x:c r="D6" s="93" t="str">
        <x:v>EU customer</x:v>
      </x:c>
      <x:c r="E6" s="121" t="str">
        <x:v>2026-09-05</x:v>
      </x:c>
      <x:c r="F6" s="93" t="str">
        <x:v>Yes</x:v>
      </x:c>
      <x:c r="G6" s="93" t="str">
        <x:v>CRM; analytics; support</x:v>
      </x:c>
      <x:c r="H6" s="93" t="str">
        <x:v>Privacy Ops</x:v>
      </x:c>
      <x:c r="I6" s="121" t="str">
        <x:v>2026-10-05</x:v>
      </x:c>
      <x:c r="J6" s="93" t="str">
        <x:v>In Progress</x:v>
      </x:c>
      <x:c r="K6" s="59" t="str">
        <x:v>Export preparation</x:v>
      </x:c>
    </x:row>
    <x:row r="7">
      <x:c r="A7" s="92" t="str">
        <x:v>RR-003</x:v>
      </x:c>
      <x:c r="B7" s="93" t="str">
        <x:v>DPDP</x:v>
      </x:c>
      <x:c r="C7" s="93" t="str">
        <x:v>Erasure</x:v>
      </x:c>
      <x:c r="D7" s="93" t="str">
        <x:v>Customer</x:v>
      </x:c>
      <x:c r="E7" s="121" t="str">
        <x:v>2026-09-08</x:v>
      </x:c>
      <x:c r="F7" s="93" t="str">
        <x:v>Yes</x:v>
      </x:c>
      <x:c r="G7" s="93" t="str">
        <x:v>CRM; marketing</x:v>
      </x:c>
      <x:c r="H7" s="93" t="str">
        <x:v>Privacy Ops</x:v>
      </x:c>
      <x:c r="I7" s="121" t="str">
        <x:v>2026-09-20</x:v>
      </x:c>
      <x:c r="J7" s="93" t="str">
        <x:v>Closed</x:v>
      </x:c>
      <x:c r="K7" s="59" t="str">
        <x:v>Deletion evidence and legal-retention check</x:v>
      </x:c>
    </x:row>
    <x:row r="8">
      <x:c r="A8" s="92" t="str">
        <x:v>RR-004</x:v>
      </x:c>
      <x:c r="B8" s="93" t="str">
        <x:v>GDPR</x:v>
      </x:c>
      <x:c r="C8" s="93" t="str">
        <x:v>Rectification</x:v>
      </x:c>
      <x:c r="D8" s="93" t="str">
        <x:v>EU applicant</x:v>
      </x:c>
      <x:c r="E8" s="121" t="str">
        <x:v>2026-09-10</x:v>
      </x:c>
      <x:c r="F8" s="93" t="str">
        <x:v>Yes</x:v>
      </x:c>
      <x:c r="G8" s="93" t="str">
        <x:v>ATS; HR</x:v>
      </x:c>
      <x:c r="H8" s="93" t="str">
        <x:v>HR Privacy Coordinator</x:v>
      </x:c>
      <x:c r="I8" s="121" t="str">
        <x:v>2026-10-10</x:v>
      </x:c>
      <x:c r="J8" s="93" t="str">
        <x:v>Open</x:v>
      </x:c>
      <x:c r="K8" s="59" t="str">
        <x:v>Verification complete</x:v>
      </x:c>
    </x:row>
    <x:row r="9">
      <x:c r="A9" s="94" t="str">
        <x:v>RR-005</x:v>
      </x:c>
      <x:c r="B9" s="95" t="str">
        <x:v>DPDP</x:v>
      </x:c>
      <x:c r="C9" s="95" t="str">
        <x:v>Consent withdrawal</x:v>
      </x:c>
      <x:c r="D9" s="95" t="str">
        <x:v>Customer</x:v>
      </x:c>
      <x:c r="E9" s="122" t="str">
        <x:v>2026-09-14</x:v>
      </x:c>
      <x:c r="F9" s="95" t="str">
        <x:v>Yes</x:v>
      </x:c>
      <x:c r="G9" s="95" t="str">
        <x:v>Marketing; analytics</x:v>
      </x:c>
      <x:c r="H9" s="95" t="str">
        <x:v>Privacy Ops</x:v>
      </x:c>
      <x:c r="I9" s="122" t="str">
        <x:v>2026-09-24</x:v>
      </x:c>
      <x:c r="J9" s="95" t="str">
        <x:v>In Progress</x:v>
      </x:c>
      <x:c r="K9" s="60" t="str">
        <x:v>Downstream suppression validation</x:v>
      </x:c>
    </x:row>
    <x:row r="10">
      <x:c r="A10" s="84"/>
      <x:c r="B10" s="84"/>
      <x:c r="C10" s="84"/>
      <x:c r="D10" s="84"/>
      <x:c r="E10" s="84"/>
      <x:c r="F10" s="84"/>
      <x:c r="G10" s="84"/>
      <x:c r="H10" s="84"/>
      <x:c r="I10" s="84"/>
      <x:c r="J10" s="84"/>
    </x:row>
    <x:row r="11">
      <x:c r="A11" s="84"/>
      <x:c r="B11" s="84"/>
      <x:c r="C11" s="84"/>
      <x:c r="D11" s="84"/>
      <x:c r="E11" s="84"/>
      <x:c r="F11" s="84"/>
      <x:c r="G11" s="84"/>
      <x:c r="H11" s="84"/>
      <x:c r="I11" s="84"/>
      <x:c r="J11" s="84"/>
    </x:row>
    <x:row r="12">
      <x:c r="A12" s="84"/>
      <x:c r="B12" s="84"/>
      <x:c r="C12" s="84"/>
      <x:c r="D12" s="84"/>
      <x:c r="E12" s="84"/>
      <x:c r="F12" s="84"/>
      <x:c r="G12" s="84"/>
      <x:c r="H12" s="84"/>
      <x:c r="I12" s="84"/>
      <x:c r="J12" s="84"/>
    </x:row>
    <x:row r="13">
      <x:c r="A13" s="84"/>
      <x:c r="B13" s="84"/>
      <x:c r="C13" s="84"/>
      <x:c r="D13" s="84"/>
      <x:c r="E13" s="84"/>
      <x:c r="F13" s="84"/>
      <x:c r="G13" s="84"/>
      <x:c r="H13" s="84"/>
      <x:c r="I13" s="84"/>
      <x:c r="J13" s="84"/>
    </x:row>
    <x:row r="14">
      <x:c r="A14" s="84"/>
      <x:c r="B14" s="84"/>
      <x:c r="C14" s="84"/>
      <x:c r="D14" s="84"/>
      <x:c r="E14" s="84"/>
      <x:c r="F14" s="84"/>
      <x:c r="G14" s="84"/>
      <x:c r="H14" s="84"/>
      <x:c r="I14" s="84"/>
      <x:c r="J14" s="84"/>
    </x:row>
    <x:row r="15">
      <x:c r="A15" s="84"/>
      <x:c r="B15" s="84"/>
      <x:c r="C15" s="84"/>
      <x:c r="D15" s="84"/>
      <x:c r="E15" s="84"/>
      <x:c r="F15" s="84"/>
      <x:c r="G15" s="84"/>
      <x:c r="H15" s="84"/>
      <x:c r="I15" s="84"/>
      <x:c r="J15" s="84"/>
    </x:row>
    <x:row r="16">
      <x:c r="A16" s="84"/>
      <x:c r="B16" s="84"/>
      <x:c r="C16" s="84"/>
      <x:c r="D16" s="84"/>
      <x:c r="E16" s="84"/>
      <x:c r="F16" s="84"/>
      <x:c r="G16" s="84"/>
      <x:c r="H16" s="84"/>
      <x:c r="I16" s="84"/>
      <x:c r="J16" s="84"/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</x:row>
  </x:sheetData>
  <x:mergeCells>
    <x:mergeCell ref="A1:J1"/>
    <x:mergeCell ref="A2:J2"/>
  </x:mergeCells>
  <x:dataValidations count="2">
    <x:dataValidation type="list" sqref="F5:F9">
      <x:formula1>"Yes,No"</x:formula1>
    </x:dataValidation>
    <x:dataValidation type="list" sqref="J5:J9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19c29f6f828441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7" hidden="0" customWidth="1"/>
    <x:col min="3" max="3" width="22" hidden="0" customWidth="1"/>
    <x:col min="4" max="4" width="29" hidden="0" customWidth="1"/>
    <x:col min="5" max="5" width="23" hidden="0" customWidth="1"/>
    <x:col min="6" max="6" width="32" hidden="0" customWidth="1"/>
    <x:col min="7" max="7" width="25" hidden="0" customWidth="1"/>
    <x:col min="8" max="8" width="20" hidden="0" customWidth="1"/>
    <x:col min="9" max="9" width="15" hidden="0" customWidth="1"/>
    <x:col min="10" max="10" width="24" hidden="0" customWidth="1"/>
  </x:cols>
  <x:sheetData>
    <x:row r="1" ht="28" customHeight="1">
      <x:c r="A1" s="5" t="str">
        <x:v>Privacy Retention &amp; Deletion Schedule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83" t="str">
        <x:v>Retention periods are simulated operational targets, not legal retention advice. Legal, tax, contractual and litigation requirements must be assessed before deletion.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</x:row>
    <x:row r="4">
      <x:c r="A4" s="26" t="str">
        <x:v>Record / Data Set</x:v>
      </x:c>
      <x:c r="B4" s="27" t="str">
        <x:v>Business Purpose</x:v>
      </x:c>
      <x:c r="C4" s="27" t="str">
        <x:v>System</x:v>
      </x:c>
      <x:c r="D4" s="27" t="str">
        <x:v>Retention Rule (Simulated)</x:v>
      </x:c>
      <x:c r="E4" s="27" t="str">
        <x:v>Trigger</x:v>
      </x:c>
      <x:c r="F4" s="27" t="str">
        <x:v>Deletion / Anonymisation Method</x:v>
      </x:c>
      <x:c r="G4" s="27" t="str">
        <x:v>Legal / Business Hold</x:v>
      </x:c>
      <x:c r="H4" s="27" t="str">
        <x:v>Owner</x:v>
      </x:c>
      <x:c r="I4" s="27" t="str">
        <x:v>Status</x:v>
      </x:c>
      <x:c r="J4" s="57" t="str">
        <x:v>Gap</x:v>
      </x:c>
    </x:row>
    <x:row r="5">
      <x:c r="A5" s="92" t="str">
        <x:v>Customer account data</x:v>
      </x:c>
      <x:c r="B5" s="93" t="str">
        <x:v>Provide SaaS account</x:v>
      </x:c>
      <x:c r="C5" s="93" t="str">
        <x:v>CRM / IAM</x:v>
      </x:c>
      <x:c r="D5" s="93" t="str">
        <x:v>Contract term + 12 months</x:v>
      </x:c>
      <x:c r="E5" s="93" t="str">
        <x:v>Account closure</x:v>
      </x:c>
      <x:c r="F5" s="93" t="str">
        <x:v>Delete or anonymise after approved hold check</x:v>
      </x:c>
      <x:c r="G5" s="93" t="str">
        <x:v>Possible statutory/contract hold</x:v>
      </x:c>
      <x:c r="H5" s="93" t="str">
        <x:v>CRM Owner</x:v>
      </x:c>
      <x:c r="I5" s="93" t="str">
        <x:v>Defined</x:v>
      </x:c>
      <x:c r="J5" s="117" t="str">
        <x:v>None</x:v>
      </x:c>
    </x:row>
    <x:row r="6">
      <x:c r="A6" s="92" t="str">
        <x:v>Support tickets</x:v>
      </x:c>
      <x:c r="B6" s="93" t="str">
        <x:v>Support and service history</x:v>
      </x:c>
      <x:c r="C6" s="93" t="str">
        <x:v>ITSM</x:v>
      </x:c>
      <x:c r="D6" s="93" t="str">
        <x:v>24 months after closure</x:v>
      </x:c>
      <x:c r="E6" s="93" t="str">
        <x:v>Ticket closure</x:v>
      </x:c>
      <x:c r="F6" s="93" t="str">
        <x:v>Delete attachments; retain minimal service metrics</x:v>
      </x:c>
      <x:c r="G6" s="93" t="str">
        <x:v>Legal hold if required</x:v>
      </x:c>
      <x:c r="H6" s="93" t="str">
        <x:v>Support Ops</x:v>
      </x:c>
      <x:c r="I6" s="93" t="str">
        <x:v>Defined</x:v>
      </x:c>
      <x:c r="J6" s="117" t="str">
        <x:v>None</x:v>
      </x:c>
    </x:row>
    <x:row r="7">
      <x:c r="A7" s="92" t="str">
        <x:v>Product analytics raw events</x:v>
      </x:c>
      <x:c r="B7" s="93" t="str">
        <x:v>Product improvement</x:v>
      </x:c>
      <x:c r="C7" s="93" t="str">
        <x:v>Analytics platform</x:v>
      </x:c>
      <x:c r="D7" s="93" t="str">
        <x:v>12 months</x:v>
      </x:c>
      <x:c r="E7" s="93" t="str">
        <x:v>Event timestamp</x:v>
      </x:c>
      <x:c r="F7" s="93" t="str">
        <x:v>Automated deletion / aggregation</x:v>
      </x:c>
      <x:c r="G7" s="93" t="str">
        <x:v>No</x:v>
      </x:c>
      <x:c r="H7" s="93" t="str">
        <x:v>Data Platform</x:v>
      </x:c>
      <x:c r="I7" s="93" t="str">
        <x:v>Missing</x:v>
      </x:c>
      <x:c r="J7" s="117" t="str">
        <x:v>Define and automate</x:v>
      </x:c>
    </x:row>
    <x:row r="8">
      <x:c r="A8" s="92" t="str">
        <x:v>Marketing contact data</x:v>
      </x:c>
      <x:c r="B8" s="93" t="str">
        <x:v>Communications</x:v>
      </x:c>
      <x:c r="C8" s="93" t="str">
        <x:v>Email platform</x:v>
      </x:c>
      <x:c r="D8" s="93" t="str">
        <x:v>Until withdrawal or inactivity review + 12 months</x:v>
      </x:c>
      <x:c r="E8" s="93" t="str">
        <x:v>Opt-out / inactivity</x:v>
      </x:c>
      <x:c r="F8" s="93" t="str">
        <x:v>Delete or suppress and remove from campaigns</x:v>
      </x:c>
      <x:c r="G8" s="93" t="str">
        <x:v>Contractual record may require evidence</x:v>
      </x:c>
      <x:c r="H8" s="93" t="str">
        <x:v>Marketing Ops</x:v>
      </x:c>
      <x:c r="I8" s="93" t="str">
        <x:v>Defined</x:v>
      </x:c>
      <x:c r="J8" s="117" t="str">
        <x:v>None</x:v>
      </x:c>
    </x:row>
    <x:row r="9">
      <x:c r="A9" s="92" t="str">
        <x:v>Applicant records</x:v>
      </x:c>
      <x:c r="B9" s="93" t="str">
        <x:v>Recruitment</x:v>
      </x:c>
      <x:c r="C9" s="93" t="str">
        <x:v>ATS</x:v>
      </x:c>
      <x:c r="D9" s="93" t="str">
        <x:v>6 months after hiring decision</x:v>
      </x:c>
      <x:c r="E9" s="93" t="str">
        <x:v>Decision closure</x:v>
      </x:c>
      <x:c r="F9" s="93" t="str">
        <x:v>Secure deletion</x:v>
      </x:c>
      <x:c r="G9" s="93" t="str">
        <x:v>Law/contract assessment required</x:v>
      </x:c>
      <x:c r="H9" s="93" t="str">
        <x:v>HR</x:v>
      </x:c>
      <x:c r="I9" s="93" t="str">
        <x:v>Needs review</x:v>
      </x:c>
      <x:c r="J9" s="117" t="str">
        <x:v>Confirm period</x:v>
      </x:c>
    </x:row>
    <x:row r="10">
      <x:c r="A10" s="92" t="str">
        <x:v>Security logs</x:v>
      </x:c>
      <x:c r="B10" s="93" t="str">
        <x:v>Threat detection</x:v>
      </x:c>
      <x:c r="C10" s="93" t="str">
        <x:v>SIEM</x:v>
      </x:c>
      <x:c r="D10" s="93" t="str">
        <x:v>180 days hot + 12 months archive</x:v>
      </x:c>
      <x:c r="E10" s="93" t="str">
        <x:v>Event age</x:v>
      </x:c>
      <x:c r="F10" s="93" t="str">
        <x:v>Automated lifecycle policy</x:v>
      </x:c>
      <x:c r="G10" s="93" t="str">
        <x:v>Incident/legal hold</x:v>
      </x:c>
      <x:c r="H10" s="93" t="str">
        <x:v>SOC</x:v>
      </x:c>
      <x:c r="I10" s="93" t="str">
        <x:v>Defined</x:v>
      </x:c>
      <x:c r="J10" s="117" t="str">
        <x:v>None</x:v>
      </x:c>
    </x:row>
    <x:row r="11">
      <x:c r="A11" s="92" t="str">
        <x:v>Vendor due-diligence records</x:v>
      </x:c>
      <x:c r="B11" s="93" t="str">
        <x:v>Supplier governance</x:v>
      </x:c>
      <x:c r="C11" s="93" t="str">
        <x:v>TPRM</x:v>
      </x:c>
      <x:c r="D11" s="93" t="str">
        <x:v>Contract term + 24 months</x:v>
      </x:c>
      <x:c r="E11" s="93" t="str">
        <x:v>Vendor offboarding</x:v>
      </x:c>
      <x:c r="F11" s="93" t="str">
        <x:v>Secure deletion</x:v>
      </x:c>
      <x:c r="G11" s="93" t="str">
        <x:v>Audit/legal hold</x:v>
      </x:c>
      <x:c r="H11" s="93" t="str">
        <x:v>Procurement</x:v>
      </x:c>
      <x:c r="I11" s="93" t="str">
        <x:v>Missing</x:v>
      </x:c>
      <x:c r="J11" s="117" t="str">
        <x:v>Define lifecycle</x:v>
      </x:c>
    </x:row>
    <x:row r="12">
      <x:c r="A12" s="94" t="str">
        <x:v>Consent / preference records</x:v>
      </x:c>
      <x:c r="B12" s="95" t="str">
        <x:v>Demonstrate user choices</x:v>
      </x:c>
      <x:c r="C12" s="95" t="str">
        <x:v>Consent system</x:v>
      </x:c>
      <x:c r="D12" s="95" t="str">
        <x:v>Duration of consent record + evidence period</x:v>
      </x:c>
      <x:c r="E12" s="95" t="str">
        <x:v>Consent withdrawal / account closure</x:v>
      </x:c>
      <x:c r="F12" s="95" t="str">
        <x:v>Secure deletion subject to evidence need</x:v>
      </x:c>
      <x:c r="G12" s="95" t="str">
        <x:v>Keep evidence where required</x:v>
      </x:c>
      <x:c r="H12" s="95" t="str">
        <x:v>Privacy Ops</x:v>
      </x:c>
      <x:c r="I12" s="95" t="str">
        <x:v>Needs review</x:v>
      </x:c>
      <x:c r="J12" s="118" t="str">
        <x:v>Confirm retention purpose</x:v>
      </x:c>
    </x:row>
    <x:row r="13">
      <x:c r="A13" s="84"/>
      <x:c r="B13" s="84"/>
      <x:c r="C13" s="84"/>
      <x:c r="D13" s="84"/>
      <x:c r="E13" s="84"/>
      <x:c r="F13" s="84"/>
      <x:c r="G13" s="84"/>
      <x:c r="H13" s="84"/>
      <x:c r="I13" s="84"/>
      <x:c r="J13" s="84"/>
    </x:row>
    <x:row r="14">
      <x:c r="A14" s="84"/>
      <x:c r="B14" s="84"/>
      <x:c r="C14" s="84"/>
      <x:c r="D14" s="84"/>
      <x:c r="E14" s="84"/>
      <x:c r="F14" s="84"/>
      <x:c r="G14" s="84"/>
      <x:c r="H14" s="84"/>
      <x:c r="I14" s="84"/>
      <x:c r="J14" s="84"/>
    </x:row>
    <x:row r="15">
      <x:c r="A15" s="84"/>
      <x:c r="B15" s="84"/>
      <x:c r="C15" s="84"/>
      <x:c r="D15" s="84"/>
      <x:c r="E15" s="84"/>
      <x:c r="F15" s="84"/>
      <x:c r="G15" s="84"/>
      <x:c r="H15" s="84"/>
      <x:c r="I15" s="84"/>
      <x:c r="J15" s="84"/>
    </x:row>
    <x:row r="16">
      <x:c r="A16" s="84"/>
      <x:c r="B16" s="84"/>
      <x:c r="C16" s="84"/>
      <x:c r="D16" s="84"/>
      <x:c r="E16" s="84"/>
      <x:c r="F16" s="84"/>
      <x:c r="G16" s="84"/>
      <x:c r="H16" s="84"/>
      <x:c r="I16" s="84"/>
      <x:c r="J16" s="84"/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</x:row>
  </x:sheetData>
  <x:mergeCells>
    <x:mergeCell ref="A1:J1"/>
    <x:mergeCell ref="A2:J2"/>
  </x:mergeCells>
  <x:dataValidations count="1">
    <x:dataValidation type="list" sqref="I5:I12">
      <x:formula1>"Defined,Needs review,Missing"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374dc3766c341f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30" hidden="0" customWidth="1"/>
    <x:col min="4" max="4" width="31" hidden="0" customWidth="1"/>
    <x:col min="5" max="5" width="28" hidden="0" customWidth="1"/>
    <x:col min="6" max="6" width="29" hidden="0" customWidth="1"/>
    <x:col min="7" max="7" width="13" hidden="0" customWidth="1"/>
    <x:col min="8" max="8" width="13" hidden="0" customWidth="1"/>
    <x:col min="9" max="9" width="14" hidden="0" customWidth="1"/>
    <x:col min="10" max="10" width="34" hidden="0" customWidth="1"/>
    <x:col min="11" max="11" width="22" hidden="0" customWidth="1"/>
  </x:cols>
  <x:sheetData>
    <x:row r="1" ht="28" customHeight="1">
      <x:c r="A1" s="5" t="str">
        <x:v>Privacy Compliance / Readiness Gap Assessment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83" t="str">
        <x:v>Readiness assessment mapped to high-level DPDP Act/Rules and GDPR concepts. This is a control-readiness exercise, not legal advice.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</x:row>
    <x:row r="4">
      <x:c r="A4" s="26" t="str">
        <x:v>Control ID</x:v>
      </x:c>
      <x:c r="B4" s="27" t="str">
        <x:v>Framework</x:v>
      </x:c>
      <x:c r="C4" s="27" t="str">
        <x:v>Requirement / Control Theme</x:v>
      </x:c>
      <x:c r="D4" s="27" t="str">
        <x:v>Current State</x:v>
      </x:c>
      <x:c r="E4" s="27" t="str">
        <x:v>Evidence</x:v>
      </x:c>
      <x:c r="F4" s="27" t="str">
        <x:v>Gap</x:v>
      </x:c>
      <x:c r="G4" s="27" t="str">
        <x:v>Risk</x:v>
      </x:c>
      <x:c r="H4" s="27" t="str">
        <x:v>Priority</x:v>
      </x:c>
      <x:c r="I4" s="27" t="str">
        <x:v>Status</x:v>
      </x:c>
      <x:c r="J4" s="27" t="str">
        <x:v>Recommendation</x:v>
      </x:c>
      <x:c r="K4" s="57" t="str">
        <x:v>Owner</x:v>
      </x:c>
    </x:row>
    <x:row r="5">
      <x:c r="A5" s="92" t="str">
        <x:v>PRIV-01</x:v>
      </x:c>
      <x:c r="B5" s="93" t="str">
        <x:v>DPDP</x:v>
      </x:c>
      <x:c r="C5" s="93" t="str">
        <x:v>Clear notice describing personal data and processing purposes</x:v>
      </x:c>
      <x:c r="D5" s="93" t="str">
        <x:v>Notice exists but analytics detail is incomplete</x:v>
      </x:c>
      <x:c r="E5" s="93" t="str">
        <x:v>Privacy notice draft</x:v>
      </x:c>
      <x:c r="F5" s="93" t="str">
        <x:v>Purpose/data-category detail incomplete</x:v>
      </x:c>
      <x:c r="G5" s="93" t="str">
        <x:v>Medium</x:v>
      </x:c>
      <x:c r="H5" s="93" t="str">
        <x:v>High</x:v>
      </x:c>
      <x:c r="I5" s="93" t="str">
        <x:v>Open</x:v>
      </x:c>
      <x:c r="J5" s="93" t="str">
        <x:v>Revise notice and test readability / version control</x:v>
      </x:c>
      <x:c r="K5" s="59" t="str">
        <x:v>Privacy Lead</x:v>
      </x:c>
    </x:row>
    <x:row r="6">
      <x:c r="A6" s="92" t="str">
        <x:v>PRIV-02</x:v>
      </x:c>
      <x:c r="B6" s="93" t="str">
        <x:v>DPDP</x:v>
      </x:c>
      <x:c r="C6" s="93" t="str">
        <x:v>Consent should be clear, specific, informed and withdrawable where consent is relied upon</x:v>
      </x:c>
      <x:c r="D6" s="93" t="str">
        <x:v>Consent records exist; downstream withdrawal validation is incomplete</x:v>
      </x:c>
      <x:c r="E6" s="93" t="str">
        <x:v>Consent log; preference center</x:v>
      </x:c>
      <x:c r="F6" s="93" t="str">
        <x:v>Propagation and evidence gaps</x:v>
      </x:c>
      <x:c r="G6" s="93" t="str">
        <x:v>High</x:v>
      </x:c>
      <x:c r="H6" s="93" t="str">
        <x:v>High</x:v>
      </x:c>
      <x:c r="I6" s="93" t="str">
        <x:v>Open</x:v>
      </x:c>
      <x:c r="J6" s="93" t="str">
        <x:v>Test withdrawal end-to-end and retain evidence</x:v>
      </x:c>
      <x:c r="K6" s="59" t="str">
        <x:v>Privacy Ops</x:v>
      </x:c>
    </x:row>
    <x:row r="7">
      <x:c r="A7" s="92" t="str">
        <x:v>PRIV-03</x:v>
      </x:c>
      <x:c r="B7" s="93" t="str">
        <x:v>DPDP</x:v>
      </x:c>
      <x:c r="C7" s="93" t="str">
        <x:v>Correction / updating / erasure request workflow</x:v>
      </x:c>
      <x:c r="D7" s="93" t="str">
        <x:v>Workflow documented and sampled</x:v>
      </x:c>
      <x:c r="E7" s="93" t="str">
        <x:v>Rights tracker; ticket evidence</x:v>
      </x:c>
      <x:c r="F7" s="93" t="str">
        <x:v>SLA and reporting should be formalised</x:v>
      </x:c>
      <x:c r="G7" s="93" t="str">
        <x:v>Medium</x:v>
      </x:c>
      <x:c r="H7" s="93" t="str">
        <x:v>Medium</x:v>
      </x:c>
      <x:c r="I7" s="93" t="str">
        <x:v>In Progress</x:v>
      </x:c>
      <x:c r="J7" s="93" t="str">
        <x:v>Define operating SLA and monthly metrics</x:v>
      </x:c>
      <x:c r="K7" s="59" t="str">
        <x:v>Privacy Ops</x:v>
      </x:c>
    </x:row>
    <x:row r="8">
      <x:c r="A8" s="92" t="str">
        <x:v>PRIV-04</x:v>
      </x:c>
      <x:c r="B8" s="93" t="str">
        <x:v>DPDP</x:v>
      </x:c>
      <x:c r="C8" s="93" t="str">
        <x:v>Security safeguards and processor oversight</x:v>
      </x:c>
      <x:c r="D8" s="93" t="str">
        <x:v>Security baseline exists</x:v>
      </x:c>
      <x:c r="E8" s="93" t="str">
        <x:v>Security policies; TPRM</x:v>
      </x:c>
      <x:c r="F8" s="93" t="str">
        <x:v>Privacy-specific control mapping needs improvement</x:v>
      </x:c>
      <x:c r="G8" s="93" t="str">
        <x:v>Medium</x:v>
      </x:c>
      <x:c r="H8" s="93" t="str">
        <x:v>Medium</x:v>
      </x:c>
      <x:c r="I8" s="93" t="str">
        <x:v>Open</x:v>
      </x:c>
      <x:c r="J8" s="93" t="str">
        <x:v>Add privacy requirements to TPRM control set</x:v>
      </x:c>
      <x:c r="K8" s="59" t="str">
        <x:v>TPRM Lead</x:v>
      </x:c>
    </x:row>
    <x:row r="9">
      <x:c r="A9" s="92" t="str">
        <x:v>PRIV-05</x:v>
      </x:c>
      <x:c r="B9" s="93" t="str">
        <x:v>DPDP</x:v>
      </x:c>
      <x:c r="C9" s="93" t="str">
        <x:v>Data breach response and notification workflow</x:v>
      </x:c>
      <x:c r="D9" s="93" t="str">
        <x:v>Incident response plan exists</x:v>
      </x:c>
      <x:c r="E9" s="93" t="str">
        <x:v>IR plan; playbook</x:v>
      </x:c>
      <x:c r="F9" s="93" t="str">
        <x:v>Privacy notification decision tree not explicit</x:v>
      </x:c>
      <x:c r="G9" s="93" t="str">
        <x:v>High</x:v>
      </x:c>
      <x:c r="H9" s="93" t="str">
        <x:v>High</x:v>
      </x:c>
      <x:c r="I9" s="93" t="str">
        <x:v>Open</x:v>
      </x:c>
      <x:c r="J9" s="93" t="str">
        <x:v>Add privacy breach assessment and escalation workflow</x:v>
      </x:c>
      <x:c r="K9" s="59" t="str">
        <x:v>Security Lead</x:v>
      </x:c>
    </x:row>
    <x:row r="10">
      <x:c r="A10" s="92" t="str">
        <x:v>PRIV-06</x:v>
      </x:c>
      <x:c r="B10" s="93" t="str">
        <x:v>DPDP</x:v>
      </x:c>
      <x:c r="C10" s="93" t="str">
        <x:v>Retention / deletion governance</x:v>
      </x:c>
      <x:c r="D10" s="93" t="str">
        <x:v>Retention schedule partial</x:v>
      </x:c>
      <x:c r="E10" s="93" t="str">
        <x:v>Retention schedule</x:v>
      </x:c>
      <x:c r="F10" s="93" t="str">
        <x:v>Two datasets lack defined lifecycle</x:v>
      </x:c>
      <x:c r="G10" s="93" t="str">
        <x:v>High</x:v>
      </x:c>
      <x:c r="H10" s="93" t="str">
        <x:v>High</x:v>
      </x:c>
      <x:c r="I10" s="93" t="str">
        <x:v>Open</x:v>
      </x:c>
      <x:c r="J10" s="93" t="str">
        <x:v>Approve retention schedule and automate deletion</x:v>
      </x:c>
      <x:c r="K10" s="59" t="str">
        <x:v>Data Governance Lead</x:v>
      </x:c>
    </x:row>
    <x:row r="11">
      <x:c r="A11" s="92" t="str">
        <x:v>PRIV-07</x:v>
      </x:c>
      <x:c r="B11" s="93" t="str">
        <x:v>GDPR</x:v>
      </x:c>
      <x:c r="C11" s="93" t="str">
        <x:v>Transparency and information to data subjects</x:v>
      </x:c>
      <x:c r="D11" s="93" t="str">
        <x:v>Privacy notice exists</x:v>
      </x:c>
      <x:c r="E11" s="93" t="str">
        <x:v>Privacy notice</x:v>
      </x:c>
      <x:c r="F11" s="93" t="str">
        <x:v>Rights and processor detail can be expanded</x:v>
      </x:c>
      <x:c r="G11" s="93" t="str">
        <x:v>Medium</x:v>
      </x:c>
      <x:c r="H11" s="93" t="str">
        <x:v>Medium</x:v>
      </x:c>
      <x:c r="I11" s="93" t="str">
        <x:v>Open</x:v>
      </x:c>
      <x:c r="J11" s="93" t="str">
        <x:v>Refresh notice for GDPR-facing processing</x:v>
      </x:c>
      <x:c r="K11" s="59" t="str">
        <x:v>Privacy Lead</x:v>
      </x:c>
    </x:row>
    <x:row r="12">
      <x:c r="A12" s="92" t="str">
        <x:v>PRIV-08</x:v>
      </x:c>
      <x:c r="B12" s="93" t="str">
        <x:v>GDPR</x:v>
      </x:c>
      <x:c r="C12" s="93" t="str">
        <x:v>Data subject access / rectification / erasure / objection workflows</x:v>
      </x:c>
      <x:c r="D12" s="93" t="str">
        <x:v>Requests tracked</x:v>
      </x:c>
      <x:c r="E12" s="93" t="str">
        <x:v>Rights tracker</x:v>
      </x:c>
      <x:c r="F12" s="93" t="str">
        <x:v>Evidence and system orchestration remain partly manual</x:v>
      </x:c>
      <x:c r="G12" s="93" t="str">
        <x:v>Medium</x:v>
      </x:c>
      <x:c r="H12" s="93" t="str">
        <x:v>Medium</x:v>
      </x:c>
      <x:c r="I12" s="93" t="str">
        <x:v>In Progress</x:v>
      </x:c>
      <x:c r="J12" s="93" t="str">
        <x:v>Document workflow, identity check, response evidence</x:v>
      </x:c>
      <x:c r="K12" s="59" t="str">
        <x:v>Privacy Ops</x:v>
      </x:c>
    </x:row>
    <x:row r="13">
      <x:c r="A13" s="92" t="str">
        <x:v>PRIV-09</x:v>
      </x:c>
      <x:c r="B13" s="93" t="str">
        <x:v>GDPR</x:v>
      </x:c>
      <x:c r="C13" s="93" t="str">
        <x:v>DPIA for processing likely to result in high risk</x:v>
      </x:c>
      <x:c r="D13" s="93" t="str">
        <x:v>DPIA process established for analytics case</x:v>
      </x:c>
      <x:c r="E13" s="93" t="str">
        <x:v>DPIA workpaper</x:v>
      </x:c>
      <x:c r="F13" s="93" t="str">
        <x:v>Reassessment triggers need formalisation</x:v>
      </x:c>
      <x:c r="G13" s="93" t="str">
        <x:v>Medium</x:v>
      </x:c>
      <x:c r="H13" s="93" t="str">
        <x:v>Medium</x:v>
      </x:c>
      <x:c r="I13" s="93" t="str">
        <x:v>Open</x:v>
      </x:c>
      <x:c r="J13" s="93" t="str">
        <x:v>Create DPIA intake and change-trigger checklist</x:v>
      </x:c>
      <x:c r="K13" s="59" t="str">
        <x:v>Privacy Lead</x:v>
      </x:c>
    </x:row>
    <x:row r="14">
      <x:c r="A14" s="92" t="str">
        <x:v>PRIV-10</x:v>
      </x:c>
      <x:c r="B14" s="93" t="str">
        <x:v>GDPR</x:v>
      </x:c>
      <x:c r="C14" s="93" t="str">
        <x:v>Processor contracts and subprocessor oversight</x:v>
      </x:c>
      <x:c r="D14" s="93" t="str">
        <x:v>TPRM process exists</x:v>
      </x:c>
      <x:c r="E14" s="93" t="str">
        <x:v>Vendor assessment</x:v>
      </x:c>
      <x:c r="F14" s="93" t="str">
        <x:v>Privacy clauses not consistently mapped to processing register</x:v>
      </x:c>
      <x:c r="G14" s="93" t="str">
        <x:v>Medium</x:v>
      </x:c>
      <x:c r="H14" s="93" t="str">
        <x:v>Medium</x:v>
      </x:c>
      <x:c r="I14" s="93" t="str">
        <x:v>Open</x:v>
      </x:c>
      <x:c r="J14" s="93" t="str">
        <x:v>Map processors/subprocessors to processing activities</x:v>
      </x:c>
      <x:c r="K14" s="59" t="str">
        <x:v>TPRM Lead</x:v>
      </x:c>
    </x:row>
    <x:row r="15">
      <x:c r="A15" s="92" t="str">
        <x:v>PRIV-11</x:v>
      </x:c>
      <x:c r="B15" s="93" t="str">
        <x:v>GDPR</x:v>
      </x:c>
      <x:c r="C15" s="93" t="str">
        <x:v>Records of processing activities / accountability</x:v>
      </x:c>
      <x:c r="D15" s="93" t="str">
        <x:v>ROPA-style register created</x:v>
      </x:c>
      <x:c r="E15" s="93" t="str">
        <x:v>Data Inventory</x:v>
      </x:c>
      <x:c r="F15" s="93" t="str">
        <x:v>Need owner sign-off and update cadence</x:v>
      </x:c>
      <x:c r="G15" s="93" t="str">
        <x:v>Low</x:v>
      </x:c>
      <x:c r="H15" s="93" t="str">
        <x:v>Low</x:v>
      </x:c>
      <x:c r="I15" s="93" t="str">
        <x:v>Open</x:v>
      </x:c>
      <x:c r="J15" s="93" t="str">
        <x:v>Add quarterly attestation</x:v>
      </x:c>
      <x:c r="K15" s="59" t="str">
        <x:v>Privacy Lead</x:v>
      </x:c>
    </x:row>
    <x:row r="16">
      <x:c r="A16" s="94" t="str">
        <x:v>PRIV-12</x:v>
      </x:c>
      <x:c r="B16" s="95" t="str">
        <x:v>Both</x:v>
      </x:c>
      <x:c r="C16" s="95" t="str">
        <x:v>Privacy incident and rights metrics</x:v>
      </x:c>
      <x:c r="D16" s="95" t="str">
        <x:v>Basic tracker available</x:v>
      </x:c>
      <x:c r="E16" s="95" t="str">
        <x:v>Dashboard / trackers</x:v>
      </x:c>
      <x:c r="F16" s="95" t="str">
        <x:v>No formal KPI/KRI pack yet</x:v>
      </x:c>
      <x:c r="G16" s="95" t="str">
        <x:v>Low</x:v>
      </x:c>
      <x:c r="H16" s="95" t="str">
        <x:v>Low</x:v>
      </x:c>
      <x:c r="I16" s="95" t="str">
        <x:v>Open</x:v>
      </x:c>
      <x:c r="J16" s="95" t="str">
        <x:v>Create monthly privacy metrics and escalation thresholds</x:v>
      </x:c>
      <x:c r="K16" s="60" t="str">
        <x:v>Privacy Ops</x:v>
      </x:c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</x:row>
  </x:sheetData>
  <x:mergeCells>
    <x:mergeCell ref="A1:J1"/>
    <x:mergeCell ref="A2:J2"/>
  </x:mergeCells>
  <x:dataValidations count="2">
    <x:dataValidation type="list" sqref="H5:H16">
      <x:formula1>"Low,Medium,High,Critical,Open,In Progress,Closed"</x:formula1>
    </x:dataValidation>
    <x:dataValidation type="list" sqref="I5:I16">
      <x:formula1>"Low,Medium,High,Critical,Open,In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ffabb024c64e8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2" hidden="0" customWidth="1"/>
    <x:col min="3" max="3" width="40" hidden="0" customWidth="1"/>
    <x:col min="4" max="4" width="22" hidden="0" customWidth="1"/>
    <x:col min="5" max="5" width="13" hidden="0" customWidth="1"/>
    <x:col min="6" max="6" width="14" hidden="0" customWidth="1"/>
    <x:col min="7" max="7" width="36" hidden="0" customWidth="1"/>
    <x:col min="8" max="8" width="15" hidden="0" customWidth="1"/>
    <x:col min="9" max="9" width="30" hidden="0" customWidth="1"/>
    <x:col min="10" max="10" width="20" hidden="0" customWidth="1"/>
  </x:cols>
  <x:sheetData>
    <x:row r="1" ht="28" customHeight="1">
      <x:c r="A1" s="5" t="str">
        <x:v>Privacy Remediation Tracker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83" t="str">
        <x:v>Actions trace back to identified privacy gaps and risks. Closure requires evidence validation, not only management assertion.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</x:row>
    <x:row r="4">
      <x:c r="A4" s="26" t="str">
        <x:v>Action ID</x:v>
      </x:c>
      <x:c r="B4" s="27" t="str">
        <x:v>Source ID</x:v>
      </x:c>
      <x:c r="C4" s="27" t="str">
        <x:v>Action</x:v>
      </x:c>
      <x:c r="D4" s="27" t="str">
        <x:v>Owner</x:v>
      </x:c>
      <x:c r="E4" s="27" t="str">
        <x:v>Priority</x:v>
      </x:c>
      <x:c r="F4" s="27" t="str">
        <x:v>Target Date</x:v>
      </x:c>
      <x:c r="G4" s="27" t="str">
        <x:v>Success Measure</x:v>
      </x:c>
      <x:c r="H4" s="27" t="str">
        <x:v>Status</x:v>
      </x:c>
      <x:c r="I4" s="27" t="str">
        <x:v>Validation Evidence</x:v>
      </x:c>
      <x:c r="J4" s="57" t="str">
        <x:v>Dependency</x:v>
      </x:c>
    </x:row>
    <x:row r="5">
      <x:c r="A5" s="92" t="str">
        <x:v>PA-001</x:v>
      </x:c>
      <x:c r="B5" s="93" t="str">
        <x:v>PRIV-01</x:v>
      </x:c>
      <x:c r="C5" s="93" t="str">
        <x:v>Update privacy notice with field-level categories, purposes and preference information.</x:v>
      </x:c>
      <x:c r="D5" s="93" t="str">
        <x:v>Privacy Lead</x:v>
      </x:c>
      <x:c r="E5" s="93" t="str">
        <x:v>High</x:v>
      </x:c>
      <x:c r="F5" s="121" t="str">
        <x:v>2026-10-25</x:v>
      </x:c>
      <x:c r="G5" s="93" t="str">
        <x:v>Approved notice reflects all scoped processing activities.</x:v>
      </x:c>
      <x:c r="H5" s="93" t="str">
        <x:v>Open</x:v>
      </x:c>
      <x:c r="I5" s="93" t="str">
        <x:v>Pending</x:v>
      </x:c>
      <x:c r="J5" s="117" t="str">
        <x:v>Data Inventory</x:v>
      </x:c>
    </x:row>
    <x:row r="6">
      <x:c r="A6" s="92" t="str">
        <x:v>PA-002</x:v>
      </x:c>
      <x:c r="B6" s="93" t="str">
        <x:v>PRIV-02</x:v>
      </x:c>
      <x:c r="C6" s="93" t="str">
        <x:v>Test consent withdrawal across analytics and marketing providers.</x:v>
      </x:c>
      <x:c r="D6" s="93" t="str">
        <x:v>Privacy Ops</x:v>
      </x:c>
      <x:c r="E6" s="93" t="str">
        <x:v>High</x:v>
      </x:c>
      <x:c r="F6" s="121" t="str">
        <x:v>2026-11-05</x:v>
      </x:c>
      <x:c r="G6" s="93" t="str">
        <x:v>Withdrawal suppresses optional processing across downstream systems.</x:v>
      </x:c>
      <x:c r="H6" s="93" t="str">
        <x:v>Open</x:v>
      </x:c>
      <x:c r="I6" s="93" t="str">
        <x:v>Pending</x:v>
      </x:c>
      <x:c r="J6" s="117" t="str">
        <x:v>Vendor/platform support</x:v>
      </x:c>
    </x:row>
    <x:row r="7">
      <x:c r="A7" s="92" t="str">
        <x:v>PA-003</x:v>
      </x:c>
      <x:c r="B7" s="93" t="str">
        <x:v>PRIV-03</x:v>
      </x:c>
      <x:c r="C7" s="93" t="str">
        <x:v>Formalise privacy rights operating SLA and monthly reporting.</x:v>
      </x:c>
      <x:c r="D7" s="93" t="str">
        <x:v>Privacy Ops</x:v>
      </x:c>
      <x:c r="E7" s="93" t="str">
        <x:v>Medium</x:v>
      </x:c>
      <x:c r="F7" s="121" t="str">
        <x:v>2026-10-20</x:v>
      </x:c>
      <x:c r="G7" s="93" t="str">
        <x:v>Rights register includes target date, completion evidence and escalation.</x:v>
      </x:c>
      <x:c r="H7" s="93" t="str">
        <x:v>In Progress</x:v>
      </x:c>
      <x:c r="I7" s="93" t="str">
        <x:v>Process document pending</x:v>
      </x:c>
      <x:c r="J7" s="117" t="str">
        <x:v>Privacy Governance</x:v>
      </x:c>
    </x:row>
    <x:row r="8">
      <x:c r="A8" s="92" t="str">
        <x:v>PA-004</x:v>
      </x:c>
      <x:c r="B8" s="93" t="str">
        <x:v>PRIV-05</x:v>
      </x:c>
      <x:c r="C8" s="93" t="str">
        <x:v>Add privacy-breach assessment and notification decision tree to incident response playbook.</x:v>
      </x:c>
      <x:c r="D8" s="93" t="str">
        <x:v>Security Lead</x:v>
      </x:c>
      <x:c r="E8" s="93" t="str">
        <x:v>High</x:v>
      </x:c>
      <x:c r="F8" s="121" t="str">
        <x:v>2026-11-01</x:v>
      </x:c>
      <x:c r="G8" s="93" t="str">
        <x:v>Playbook contains privacy triage, escalation and evidence steps.</x:v>
      </x:c>
      <x:c r="H8" s="93" t="str">
        <x:v>Open</x:v>
      </x:c>
      <x:c r="I8" s="93" t="str">
        <x:v>Pending</x:v>
      </x:c>
      <x:c r="J8" s="117" t="str">
        <x:v>Legal/Privacy review</x:v>
      </x:c>
    </x:row>
    <x:row r="9">
      <x:c r="A9" s="92" t="str">
        <x:v>PA-005</x:v>
      </x:c>
      <x:c r="B9" s="93" t="str">
        <x:v>PRIV-06</x:v>
      </x:c>
      <x:c r="C9" s="93" t="str">
        <x:v>Approve retention schedule and implement lifecycle controls for analytics and vendor records.</x:v>
      </x:c>
      <x:c r="D9" s="93" t="str">
        <x:v>Data Governance Lead</x:v>
      </x:c>
      <x:c r="E9" s="93" t="str">
        <x:v>High</x:v>
      </x:c>
      <x:c r="F9" s="121" t="str">
        <x:v>2026-11-10</x:v>
      </x:c>
      <x:c r="G9" s="93" t="str">
        <x:v>All priority datasets have approved retention and deletion controls.</x:v>
      </x:c>
      <x:c r="H9" s="93" t="str">
        <x:v>Open</x:v>
      </x:c>
      <x:c r="I9" s="93" t="str">
        <x:v>Pending</x:v>
      </x:c>
      <x:c r="J9" s="117" t="str">
        <x:v>System capability</x:v>
      </x:c>
    </x:row>
    <x:row r="10">
      <x:c r="A10" s="92" t="str">
        <x:v>PA-006</x:v>
      </x:c>
      <x:c r="B10" s="93" t="str">
        <x:v>PRIV-09</x:v>
      </x:c>
      <x:c r="C10" s="93" t="str">
        <x:v>Create DPIA intake checklist and reassessment triggers.</x:v>
      </x:c>
      <x:c r="D10" s="93" t="str">
        <x:v>Privacy Lead</x:v>
      </x:c>
      <x:c r="E10" s="93" t="str">
        <x:v>Medium</x:v>
      </x:c>
      <x:c r="F10" s="121" t="str">
        <x:v>2026-10-30</x:v>
      </x:c>
      <x:c r="G10" s="93" t="str">
        <x:v>New high-risk processing changes trigger documented review.</x:v>
      </x:c>
      <x:c r="H10" s="93" t="str">
        <x:v>Open</x:v>
      </x:c>
      <x:c r="I10" s="93" t="str">
        <x:v>Pending</x:v>
      </x:c>
      <x:c r="J10" s="117" t="str">
        <x:v>Change management</x:v>
      </x:c>
    </x:row>
    <x:row r="11">
      <x:c r="A11" s="92" t="str">
        <x:v>PA-007</x:v>
      </x:c>
      <x:c r="B11" s="93" t="str">
        <x:v>PRIV-10</x:v>
      </x:c>
      <x:c r="C11" s="93" t="str">
        <x:v>Map processors and subprocessors to processing activities and contracts.</x:v>
      </x:c>
      <x:c r="D11" s="93" t="str">
        <x:v>TPRM Lead</x:v>
      </x:c>
      <x:c r="E11" s="93" t="str">
        <x:v>Medium</x:v>
      </x:c>
      <x:c r="F11" s="121" t="str">
        <x:v>2026-11-07</x:v>
      </x:c>
      <x:c r="G11" s="93" t="str">
        <x:v>100% of processors in Data Inventory have traceable contract evidence.</x:v>
      </x:c>
      <x:c r="H11" s="93" t="str">
        <x:v>Open</x:v>
      </x:c>
      <x:c r="I11" s="93" t="str">
        <x:v>Pending</x:v>
      </x:c>
      <x:c r="J11" s="117" t="str">
        <x:v>TPRM inventory</x:v>
      </x:c>
    </x:row>
    <x:row r="12">
      <x:c r="A12" s="94" t="str">
        <x:v>PA-008</x:v>
      </x:c>
      <x:c r="B12" s="95" t="str">
        <x:v>PRIV-11</x:v>
      </x:c>
      <x:c r="C12" s="95" t="str">
        <x:v>Introduce quarterly ROPA/data-inventory owner attestation.</x:v>
      </x:c>
      <x:c r="D12" s="95" t="str">
        <x:v>Privacy Lead</x:v>
      </x:c>
      <x:c r="E12" s="95" t="str">
        <x:v>Low</x:v>
      </x:c>
      <x:c r="F12" s="122" t="str">
        <x:v>2026-11-15</x:v>
      </x:c>
      <x:c r="G12" s="95" t="str">
        <x:v>Owners attest to completeness and material changes each quarter.</x:v>
      </x:c>
      <x:c r="H12" s="95" t="str">
        <x:v>Open</x:v>
      </x:c>
      <x:c r="I12" s="95" t="str">
        <x:v>Pending</x:v>
      </x:c>
      <x:c r="J12" s="118" t="str">
        <x:v>Business owner sign-off</x:v>
      </x:c>
    </x:row>
    <x:row r="13">
      <x:c r="A13" s="84"/>
      <x:c r="B13" s="84"/>
      <x:c r="C13" s="84"/>
      <x:c r="D13" s="84"/>
      <x:c r="E13" s="84"/>
      <x:c r="F13" s="84"/>
      <x:c r="G13" s="84"/>
      <x:c r="H13" s="84"/>
      <x:c r="I13" s="84"/>
      <x:c r="J13" s="84"/>
    </x:row>
    <x:row r="14">
      <x:c r="A14" s="84"/>
      <x:c r="B14" s="84"/>
      <x:c r="C14" s="84"/>
      <x:c r="D14" s="84"/>
      <x:c r="E14" s="84"/>
      <x:c r="F14" s="84"/>
      <x:c r="G14" s="84"/>
      <x:c r="H14" s="84"/>
      <x:c r="I14" s="84"/>
      <x:c r="J14" s="84"/>
    </x:row>
    <x:row r="15">
      <x:c r="A15" s="84"/>
      <x:c r="B15" s="84"/>
      <x:c r="C15" s="84"/>
      <x:c r="D15" s="84"/>
      <x:c r="E15" s="84"/>
      <x:c r="F15" s="84"/>
      <x:c r="G15" s="84"/>
      <x:c r="H15" s="84"/>
      <x:c r="I15" s="84"/>
      <x:c r="J15" s="84"/>
    </x:row>
    <x:row r="16">
      <x:c r="A16" s="84"/>
      <x:c r="B16" s="84"/>
      <x:c r="C16" s="84"/>
      <x:c r="D16" s="84"/>
      <x:c r="E16" s="84"/>
      <x:c r="F16" s="84"/>
      <x:c r="G16" s="84"/>
      <x:c r="H16" s="84"/>
      <x:c r="I16" s="84"/>
      <x:c r="J16" s="84"/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</x:row>
  </x:sheetData>
  <x:mergeCells>
    <x:mergeCell ref="A1:J1"/>
    <x:mergeCell ref="A2:J2"/>
  </x:mergeCells>
  <x:dataValidations count="2">
    <x:dataValidation type="list" sqref="E5:E12">
      <x:formula1>"Low,Medium,High,Critical"</x:formula1>
    </x:dataValidation>
    <x:dataValidation type="list" sqref="H5:H12">
      <x:formula1>"Open,In Progress,Closed"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2a9dcb109c7438f"/>
  </x:tableParts>
</x:worksheet>
</file>

<file path=xl/worksheets/sheet9.xml><?xml version="1.0" encoding="utf-8"?>
<x:worksheet xmlns:x="http://schemas.openxmlformats.org/spreadsheetml/2006/main">
  <x:sheetFormatPr defaultRowHeight="15"/>
  <x:cols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8" customHeight="1">
      <x:c r="A1" s="5" t="str">
        <x:v>Executive Privacy Readiness Summary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83" t="str">
        <x:v>Northstar Cloud Services Pvt. Ltd. — simulated portfolio exercise; fictional environment.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</x:row>
    <x:row r="4" ht="40" customHeight="1">
      <x:c r="A4" s="26" t="str">
        <x:v>Area</x:v>
      </x:c>
      <x:c r="B4" s="27" t="str">
        <x:v>Summary</x:v>
      </x:c>
      <x:c r="C4" s="125" t="str"/>
      <x:c r="D4" s="125" t="str"/>
      <x:c r="E4" s="125" t="str"/>
      <x:c r="F4" s="125" t="str"/>
      <x:c r="G4" s="125" t="str"/>
      <x:c r="H4" s="126" t="str"/>
      <x:c r="I4" s="84"/>
      <x:c r="J4" s="84"/>
    </x:row>
    <x:row r="5" ht="40" customHeight="1">
      <x:c r="A5" s="127" t="str">
        <x:v>Scope</x:v>
      </x:c>
      <x:c r="B5" s="93" t="str">
        <x:v>Privacy readiness across customer, employee, applicant, vendor, analytics and website processing.</x:v>
      </x:c>
      <x:c r="C5" s="93" t="str"/>
      <x:c r="D5" s="93" t="str"/>
      <x:c r="E5" s="93" t="str"/>
      <x:c r="F5" s="93" t="str"/>
      <x:c r="G5" s="93" t="str"/>
      <x:c r="H5" s="117" t="str"/>
      <x:c r="I5" s="84"/>
      <x:c r="J5" s="84"/>
    </x:row>
    <x:row r="6" ht="40" customHeight="1">
      <x:c r="A6" s="127" t="str">
        <x:v>Key risks</x:v>
      </x:c>
      <x:c r="B6" s="93" t="str">
        <x:v>Analytics minimisation/withdrawal; retention; rights operations; privacy incident response; processor mapping.</x:v>
      </x:c>
      <x:c r="C6" s="93" t="str"/>
      <x:c r="D6" s="93" t="str"/>
      <x:c r="E6" s="93" t="str"/>
      <x:c r="F6" s="93" t="str"/>
      <x:c r="G6" s="93" t="str"/>
      <x:c r="H6" s="117" t="str"/>
      <x:c r="I6" s="84"/>
      <x:c r="J6" s="84"/>
    </x:row>
    <x:row r="7" ht="40" customHeight="1">
      <x:c r="A7" s="127" t="str">
        <x:v>Current posture</x:v>
      </x:c>
      <x:c r="B7" s="93" t="str">
        <x:v>Core registers and workflows exist, but several controls require formalisation and evidence-based validation.</x:v>
      </x:c>
      <x:c r="C7" s="93" t="str"/>
      <x:c r="D7" s="93" t="str"/>
      <x:c r="E7" s="93" t="str"/>
      <x:c r="F7" s="93" t="str"/>
      <x:c r="G7" s="93" t="str"/>
      <x:c r="H7" s="117" t="str"/>
      <x:c r="I7" s="84"/>
      <x:c r="J7" s="84"/>
    </x:row>
    <x:row r="8" ht="40" customHeight="1">
      <x:c r="A8" s="128" t="str">
        <x:v>Priority actions</x:v>
      </x:c>
      <x:c r="B8" s="95" t="str">
        <x:v>Close high-risk consent/withdrawal and retention gaps; formalise breach workflow; improve ROPA/processor traceability.</x:v>
      </x:c>
      <x:c r="C8" s="95" t="str"/>
      <x:c r="D8" s="95" t="str"/>
      <x:c r="E8" s="95" t="str"/>
      <x:c r="F8" s="95" t="str"/>
      <x:c r="G8" s="95" t="str"/>
      <x:c r="H8" s="118" t="str"/>
      <x:c r="I8" s="84"/>
      <x:c r="J8" s="84"/>
    </x:row>
    <x:row r="9">
      <x:c r="A9" s="84"/>
      <x:c r="B9" s="84"/>
      <x:c r="C9" s="84"/>
      <x:c r="D9" s="84"/>
      <x:c r="E9" s="84"/>
      <x:c r="F9" s="84"/>
      <x:c r="G9" s="84"/>
      <x:c r="H9" s="84"/>
      <x:c r="I9" s="84"/>
      <x:c r="J9" s="84"/>
    </x:row>
    <x:row r="10">
      <x:c r="A10" s="26" t="str">
        <x:v>Assessment Metrics</x:v>
      </x:c>
      <x:c r="B10" s="27" t="str">
        <x:v>Value</x:v>
      </x:c>
      <x:c r="C10" s="85" t="str"/>
      <x:c r="D10" s="85" t="str"/>
      <x:c r="E10" s="85" t="str"/>
      <x:c r="F10" s="85" t="str"/>
      <x:c r="G10" s="85" t="str"/>
      <x:c r="H10" s="86" t="str"/>
      <x:c r="I10" s="84"/>
      <x:c r="J10" s="84"/>
    </x:row>
    <x:row r="11">
      <x:c r="A11" s="87" t="str">
        <x:v>Processing activities</x:v>
      </x:c>
      <x:c r="B11" s="84" t="n">
        <x:f>COUNTA('Data Inventory'!A5:A14)</x:f>
        <x:v>10</x:v>
      </x:c>
      <x:c r="C11" s="84" t="str"/>
      <x:c r="D11" s="84" t="str"/>
      <x:c r="E11" s="84" t="str"/>
      <x:c r="F11" s="84" t="str"/>
      <x:c r="G11" s="84" t="str"/>
      <x:c r="H11" s="88" t="str"/>
      <x:c r="I11" s="84"/>
      <x:c r="J11" s="84"/>
    </x:row>
    <x:row r="12">
      <x:c r="A12" s="87" t="str">
        <x:v>High/Critical privacy risks</x:v>
      </x:c>
      <x:c r="B12" s="84" t="n">
        <x:f>COUNTIF('Privacy Risk Register'!I5:I14,"High")+COUNTIF('Privacy Risk Register'!I5:I14,"Critical")</x:f>
        <x:v>5</x:v>
      </x:c>
      <x:c r="C12" s="84" t="str"/>
      <x:c r="D12" s="84" t="str"/>
      <x:c r="E12" s="84" t="str"/>
      <x:c r="F12" s="84" t="str"/>
      <x:c r="G12" s="84" t="str"/>
      <x:c r="H12" s="88" t="str"/>
      <x:c r="I12" s="84"/>
      <x:c r="J12" s="84"/>
    </x:row>
    <x:row r="13">
      <x:c r="A13" s="87" t="str">
        <x:v>Open / In Progress actions</x:v>
      </x:c>
      <x:c r="B13" s="84" t="n">
        <x:f>COUNTIF(Remediation!H5:H12,"Open")+COUNTIF(Remediation!H5:H12,"In Progress")</x:f>
        <x:v>8</x:v>
      </x:c>
      <x:c r="C13" s="84" t="str"/>
      <x:c r="D13" s="84" t="str"/>
      <x:c r="E13" s="84" t="str"/>
      <x:c r="F13" s="84" t="str"/>
      <x:c r="G13" s="84" t="str"/>
      <x:c r="H13" s="88" t="str"/>
      <x:c r="I13" s="84"/>
      <x:c r="J13" s="84"/>
    </x:row>
    <x:row r="14">
      <x:c r="A14" s="87" t="str">
        <x:v>DPIA flags</x:v>
      </x:c>
      <x:c r="B14" s="84" t="n">
        <x:f>COUNTIF(DPIA!J5:J14,"Yes")</x:f>
        <x:v>10</x:v>
      </x:c>
      <x:c r="C14" s="84" t="str"/>
      <x:c r="D14" s="84" t="str"/>
      <x:c r="E14" s="84" t="str"/>
      <x:c r="F14" s="84" t="str"/>
      <x:c r="G14" s="84" t="str"/>
      <x:c r="H14" s="88" t="str"/>
      <x:c r="I14" s="84"/>
      <x:c r="J14" s="84"/>
    </x:row>
    <x:row r="15">
      <x:c r="A15" s="89" t="str">
        <x:v>Missing retention rules</x:v>
      </x:c>
      <x:c r="B15" s="90" t="n">
        <x:f>COUNTIF('Data Inventory'!J5:J14,"Missing")</x:f>
        <x:v>2</x:v>
      </x:c>
      <x:c r="C15" s="90" t="str"/>
      <x:c r="D15" s="90" t="str"/>
      <x:c r="E15" s="90" t="str"/>
      <x:c r="F15" s="90" t="str"/>
      <x:c r="G15" s="90" t="str"/>
      <x:c r="H15" s="91" t="str"/>
      <x:c r="I15" s="84"/>
      <x:c r="J15" s="84"/>
    </x:row>
    <x:row r="16">
      <x:c r="A16" s="84"/>
      <x:c r="B16" s="84"/>
      <x:c r="C16" s="84"/>
      <x:c r="D16" s="84"/>
      <x:c r="E16" s="84"/>
      <x:c r="F16" s="84"/>
      <x:c r="G16" s="84"/>
      <x:c r="H16" s="84"/>
      <x:c r="I16" s="84"/>
      <x:c r="J16" s="84"/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</x:row>
  </x:sheetData>
  <x:mergeCells>
    <x:mergeCell ref="A1:J1"/>
    <x:mergeCell ref="A2:J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4" hidden="0" customWidth="1"/>
    <x:col min="3" max="3" width="45" hidden="0" customWidth="1"/>
    <x:col min="4" max="4" width="78" hidden="0" customWidth="1"/>
  </x:cols>
  <x:sheetData>
    <x:row r="1" ht="28" customHeight="1">
      <x:c r="A1" s="5" t="str">
        <x:v>Authoritative Sources</x:v>
      </x:c>
      <x:c r="B1" s="5"/>
      <x:c r="C1" s="5"/>
      <x:c r="D1" s="5"/>
      <x:c r="E1" s="5"/>
      <x:c r="F1" s="5"/>
      <x:c r="G1" s="5"/>
      <x:c r="H1" s="5"/>
      <x:c r="I1" s="5"/>
      <x:c r="J1" s="5"/>
    </x:row>
    <x:row r="2" ht="36" customHeight="1">
      <x:c r="A2" s="83" t="str">
        <x:v>External sources used to shape the portfolio methodology. Accessed September 2026.</x:v>
      </x:c>
      <x:c r="B2" s="83"/>
      <x:c r="C2" s="83"/>
      <x:c r="D2" s="83"/>
      <x:c r="E2" s="83"/>
      <x:c r="F2" s="83"/>
      <x:c r="G2" s="83"/>
      <x:c r="H2" s="83"/>
      <x:c r="I2" s="83"/>
      <x:c r="J2" s="83"/>
    </x:row>
    <x:row r="3">
      <x:c r="A3" s="84"/>
      <x:c r="B3" s="84"/>
      <x:c r="C3" s="84"/>
      <x:c r="D3" s="84"/>
      <x:c r="E3" s="84"/>
      <x:c r="F3" s="84"/>
      <x:c r="G3" s="84"/>
      <x:c r="H3" s="84"/>
      <x:c r="I3" s="84"/>
      <x:c r="J3" s="84"/>
    </x:row>
    <x:row r="4" ht="42" customHeight="1">
      <x:c r="A4" s="26" t="str">
        <x:v>Source</x:v>
      </x:c>
      <x:c r="B4" s="27" t="str">
        <x:v>Authority</x:v>
      </x:c>
      <x:c r="C4" s="27" t="str">
        <x:v>Use in Project</x:v>
      </x:c>
      <x:c r="D4" s="57" t="str">
        <x:v>URL</x:v>
      </x:c>
      <x:c r="E4" s="84"/>
      <x:c r="F4" s="84"/>
      <x:c r="G4" s="84"/>
      <x:c r="H4" s="84"/>
      <x:c r="I4" s="84"/>
      <x:c r="J4" s="84"/>
    </x:row>
    <x:row r="5" ht="42" customHeight="1">
      <x:c r="A5" s="92" t="str">
        <x:v>Digital Personal Data Protection Act, 2023</x:v>
      </x:c>
      <x:c r="B5" s="93" t="str">
        <x:v>Ministry of Electronics &amp; Information Technology (MeitY)</x:v>
      </x:c>
      <x:c r="C5" s="93" t="str">
        <x:v>DPDP rights, consent, processing and governance concepts</x:v>
      </x:c>
      <x:c r="D5" s="117" t="str">
        <x:v>https://www.meity.gov.in/static/uploads/2024/02/Digital-Personal-Data-Protection-Act-2023-1.pdf</x:v>
      </x:c>
      <x:c r="E5" s="84"/>
      <x:c r="F5" s="84"/>
      <x:c r="G5" s="84"/>
      <x:c r="H5" s="84"/>
      <x:c r="I5" s="84"/>
      <x:c r="J5" s="84"/>
    </x:row>
    <x:row r="6" ht="42" customHeight="1">
      <x:c r="A6" s="92" t="str">
        <x:v>Digital Personal Data Protection Rules, 2025</x:v>
      </x:c>
      <x:c r="B6" s="93" t="str">
        <x:v>MeitY / Gazette of India</x:v>
      </x:c>
      <x:c r="C6" s="93" t="str">
        <x:v>Notified rules and phased commencement dates</x:v>
      </x:c>
      <x:c r="D6" s="117" t="str">
        <x:v>https://www.meity.gov.in/static/uploads/2025/11/53450e6e5dc0bfa85ebd78686cadad39.pdf</x:v>
      </x:c>
      <x:c r="E6" s="84"/>
      <x:c r="F6" s="84"/>
      <x:c r="G6" s="84"/>
      <x:c r="H6" s="84"/>
      <x:c r="I6" s="84"/>
      <x:c r="J6" s="84"/>
    </x:row>
    <x:row r="7" ht="42" customHeight="1">
      <x:c r="A7" s="92" t="str">
        <x:v>DPDP Enforcement Timeline Notification</x:v>
      </x:c>
      <x:c r="B7" s="93" t="str">
        <x:v>MeitY / Gazette of India</x:v>
      </x:c>
      <x:c r="C7" s="93" t="str">
        <x:v>Commencement schedule for Act provisions</x:v>
      </x:c>
      <x:c r="D7" s="117" t="str">
        <x:v>https://www.meity.gov.in/static/uploads/2025/11/c56ceae6c383460ca69577428d36828b.pdf</x:v>
      </x:c>
      <x:c r="E7" s="84"/>
      <x:c r="F7" s="84"/>
      <x:c r="G7" s="84"/>
      <x:c r="H7" s="84"/>
      <x:c r="I7" s="84"/>
      <x:c r="J7" s="84"/>
    </x:row>
    <x:row r="8" ht="42" customHeight="1">
      <x:c r="A8" s="92" t="str">
        <x:v>GDPR — Regulation (EU) 2016/679</x:v>
      </x:c>
      <x:c r="B8" s="93" t="str">
        <x:v>EUR-Lex / European Union</x:v>
      </x:c>
      <x:c r="C8" s="93" t="str">
        <x:v>Transparency, rights, accountability and DPIA reference points</x:v>
      </x:c>
      <x:c r="D8" s="117" t="str">
        <x:v>https://eur-lex.europa.eu/eli/reg/2016/679</x:v>
      </x:c>
      <x:c r="E8" s="84"/>
      <x:c r="F8" s="84"/>
      <x:c r="G8" s="84"/>
      <x:c r="H8" s="84"/>
      <x:c r="I8" s="84"/>
      <x:c r="J8" s="84"/>
    </x:row>
    <x:row r="9" ht="42" customHeight="1">
      <x:c r="A9" s="92" t="str">
        <x:v>GDPR Article 35 — DPIA</x:v>
      </x:c>
      <x:c r="B9" s="93" t="str">
        <x:v>EUR-Lex / European Union</x:v>
      </x:c>
      <x:c r="C9" s="93" t="str">
        <x:v>DPIA structure for high-risk processing</x:v>
      </x:c>
      <x:c r="D9" s="117" t="str">
        <x:v>https://eur-lex.europa.eu/eli/reg/2016/679</x:v>
      </x:c>
      <x:c r="E9" s="84"/>
      <x:c r="F9" s="84"/>
      <x:c r="G9" s="84"/>
      <x:c r="H9" s="84"/>
      <x:c r="I9" s="84"/>
      <x:c r="J9" s="84"/>
    </x:row>
    <x:row r="10" ht="42" customHeight="1">
      <x:c r="A10" s="94" t="str">
        <x:v>MeitY Digital Personal Data Protection Rules 2025 page</x:v>
      </x:c>
      <x:c r="B10" s="95" t="str">
        <x:v>MeitY</x:v>
      </x:c>
      <x:c r="C10" s="95" t="str">
        <x:v>Current rules publication and associated materials</x:v>
      </x:c>
      <x:c r="D10" s="118" t="str">
        <x:v>https://www.meity.gov.in/documents/act-and-policies/digital-personal-data-protection-rules-2025-gDOxUjMtQWa?pageTitle=Digital-Personal-Data-Protection-Rules-2025</x:v>
      </x:c>
      <x:c r="E10" s="84"/>
      <x:c r="F10" s="84"/>
      <x:c r="G10" s="84"/>
      <x:c r="H10" s="84"/>
      <x:c r="I10" s="84"/>
      <x:c r="J10" s="84"/>
    </x:row>
    <x:row r="11">
      <x:c r="A11" s="84"/>
      <x:c r="B11" s="84"/>
      <x:c r="C11" s="84"/>
      <x:c r="D11" s="84"/>
      <x:c r="E11" s="84"/>
      <x:c r="F11" s="84"/>
      <x:c r="G11" s="84"/>
      <x:c r="H11" s="84"/>
      <x:c r="I11" s="84"/>
      <x:c r="J11" s="84"/>
    </x:row>
    <x:row r="12">
      <x:c r="A12" s="84"/>
      <x:c r="B12" s="84"/>
      <x:c r="C12" s="84"/>
      <x:c r="D12" s="84"/>
      <x:c r="E12" s="84"/>
      <x:c r="F12" s="84"/>
      <x:c r="G12" s="84"/>
      <x:c r="H12" s="84"/>
      <x:c r="I12" s="84"/>
      <x:c r="J12" s="84"/>
    </x:row>
    <x:row r="13">
      <x:c r="A13" s="84"/>
      <x:c r="B13" s="84"/>
      <x:c r="C13" s="84"/>
      <x:c r="D13" s="84"/>
      <x:c r="E13" s="84"/>
      <x:c r="F13" s="84"/>
      <x:c r="G13" s="84"/>
      <x:c r="H13" s="84"/>
      <x:c r="I13" s="84"/>
      <x:c r="J13" s="84"/>
    </x:row>
    <x:row r="14">
      <x:c r="A14" s="84"/>
      <x:c r="B14" s="84"/>
      <x:c r="C14" s="84"/>
      <x:c r="D14" s="84"/>
      <x:c r="E14" s="84"/>
      <x:c r="F14" s="84"/>
      <x:c r="G14" s="84"/>
      <x:c r="H14" s="84"/>
      <x:c r="I14" s="84"/>
      <x:c r="J14" s="84"/>
    </x:row>
    <x:row r="15">
      <x:c r="A15" s="84"/>
      <x:c r="B15" s="84"/>
      <x:c r="C15" s="84"/>
      <x:c r="D15" s="84"/>
      <x:c r="E15" s="84"/>
      <x:c r="F15" s="84"/>
      <x:c r="G15" s="84"/>
      <x:c r="H15" s="84"/>
      <x:c r="I15" s="84"/>
      <x:c r="J15" s="84"/>
    </x:row>
    <x:row r="16">
      <x:c r="A16" s="84"/>
      <x:c r="B16" s="84"/>
      <x:c r="C16" s="84"/>
      <x:c r="D16" s="84"/>
      <x:c r="E16" s="84"/>
      <x:c r="F16" s="84"/>
      <x:c r="G16" s="84"/>
      <x:c r="H16" s="84"/>
      <x:c r="I16" s="84"/>
      <x:c r="J16" s="84"/>
    </x:row>
    <x:row r="17">
      <x:c r="A17" s="84"/>
      <x:c r="B17" s="84"/>
      <x:c r="C17" s="84"/>
      <x:c r="D17" s="84"/>
      <x:c r="E17" s="84"/>
      <x:c r="F17" s="84"/>
      <x:c r="G17" s="84"/>
      <x:c r="H17" s="84"/>
      <x:c r="I17" s="84"/>
      <x:c r="J17" s="84"/>
    </x:row>
    <x:row r="18">
      <x:c r="A18" s="84"/>
      <x:c r="B18" s="84"/>
      <x:c r="C18" s="84"/>
      <x:c r="D18" s="84"/>
      <x:c r="E18" s="84"/>
      <x:c r="F18" s="84"/>
      <x:c r="G18" s="84"/>
      <x:c r="H18" s="84"/>
      <x:c r="I18" s="84"/>
      <x:c r="J18" s="84"/>
    </x:row>
    <x:row r="19">
      <x:c r="A19" s="84"/>
      <x:c r="B19" s="84"/>
      <x:c r="C19" s="84"/>
      <x:c r="D19" s="84"/>
      <x:c r="E19" s="84"/>
      <x:c r="F19" s="84"/>
      <x:c r="G19" s="84"/>
      <x:c r="H19" s="84"/>
      <x:c r="I19" s="84"/>
      <x:c r="J19" s="84"/>
    </x:row>
    <x:row r="20">
      <x:c r="A20" s="84"/>
      <x:c r="B20" s="84"/>
      <x:c r="C20" s="84"/>
      <x:c r="D20" s="84"/>
      <x:c r="E20" s="84"/>
      <x:c r="F20" s="84"/>
      <x:c r="G20" s="84"/>
      <x:c r="H20" s="84"/>
      <x:c r="I20" s="84"/>
      <x:c r="J20" s="84"/>
    </x:row>
    <x:row r="21">
      <x:c r="A21" s="84"/>
      <x:c r="B21" s="84"/>
      <x:c r="C21" s="84"/>
      <x:c r="D21" s="84"/>
      <x:c r="E21" s="84"/>
      <x:c r="F21" s="84"/>
      <x:c r="G21" s="84"/>
      <x:c r="H21" s="84"/>
      <x:c r="I21" s="84"/>
      <x:c r="J21" s="84"/>
    </x:row>
    <x:row r="22">
      <x:c r="A22" s="84"/>
      <x:c r="B22" s="84"/>
      <x:c r="C22" s="84"/>
      <x:c r="D22" s="84"/>
      <x:c r="E22" s="84"/>
      <x:c r="F22" s="84"/>
      <x:c r="G22" s="84"/>
      <x:c r="H22" s="84"/>
      <x:c r="I22" s="84"/>
      <x:c r="J22" s="84"/>
    </x:row>
    <x:row r="23">
      <x:c r="A23" s="84"/>
      <x:c r="B23" s="84"/>
      <x:c r="C23" s="84"/>
      <x:c r="D23" s="84"/>
      <x:c r="E23" s="84"/>
      <x:c r="F23" s="84"/>
      <x:c r="G23" s="84"/>
      <x:c r="H23" s="84"/>
      <x:c r="I23" s="84"/>
      <x:c r="J23" s="84"/>
    </x:row>
    <x:row r="24">
      <x:c r="A24" s="84"/>
      <x:c r="B24" s="84"/>
      <x:c r="C24" s="84"/>
      <x:c r="D24" s="84"/>
      <x:c r="E24" s="84"/>
      <x:c r="F24" s="84"/>
      <x:c r="G24" s="84"/>
      <x:c r="H24" s="84"/>
      <x:c r="I24" s="84"/>
      <x:c r="J24" s="84"/>
    </x:row>
    <x:row r="25">
      <x:c r="A25" s="84"/>
      <x:c r="B25" s="84"/>
      <x:c r="C25" s="84"/>
      <x:c r="D25" s="84"/>
      <x:c r="E25" s="84"/>
      <x:c r="F25" s="84"/>
      <x:c r="G25" s="84"/>
      <x:c r="H25" s="84"/>
      <x:c r="I25" s="84"/>
      <x:c r="J25" s="84"/>
    </x:row>
    <x:row r="26">
      <x:c r="A26" s="84"/>
      <x:c r="B26" s="84"/>
      <x:c r="C26" s="84"/>
      <x:c r="D26" s="84"/>
      <x:c r="E26" s="84"/>
      <x:c r="F26" s="84"/>
      <x:c r="G26" s="84"/>
      <x:c r="H26" s="84"/>
      <x:c r="I26" s="84"/>
      <x:c r="J26" s="84"/>
    </x:row>
    <x:row r="27">
      <x:c r="A27" s="84"/>
      <x:c r="B27" s="84"/>
      <x:c r="C27" s="84"/>
      <x:c r="D27" s="84"/>
      <x:c r="E27" s="84"/>
      <x:c r="F27" s="84"/>
      <x:c r="G27" s="84"/>
      <x:c r="H27" s="84"/>
      <x:c r="I27" s="84"/>
      <x:c r="J27" s="84"/>
    </x:row>
    <x:row r="28">
      <x:c r="A28" s="84"/>
      <x:c r="B28" s="84"/>
      <x:c r="C28" s="84"/>
      <x:c r="D28" s="84"/>
      <x:c r="E28" s="84"/>
      <x:c r="F28" s="84"/>
      <x:c r="G28" s="84"/>
      <x:c r="H28" s="84"/>
      <x:c r="I28" s="84"/>
      <x:c r="J28" s="84"/>
    </x:row>
    <x:row r="29">
      <x:c r="A29" s="84"/>
      <x:c r="B29" s="84"/>
      <x:c r="C29" s="84"/>
      <x:c r="D29" s="84"/>
      <x:c r="E29" s="84"/>
      <x:c r="F29" s="84"/>
      <x:c r="G29" s="84"/>
      <x:c r="H29" s="84"/>
      <x:c r="I29" s="84"/>
      <x:c r="J29" s="84"/>
    </x:row>
    <x:row r="30">
      <x:c r="A30" s="84"/>
      <x:c r="B30" s="84"/>
      <x:c r="C30" s="84"/>
      <x:c r="D30" s="84"/>
      <x:c r="E30" s="84"/>
      <x:c r="F30" s="84"/>
      <x:c r="G30" s="84"/>
      <x:c r="H30" s="84"/>
      <x:c r="I30" s="84"/>
      <x:c r="J30" s="84"/>
    </x:row>
  </x:sheetData>
  <x:mergeCells>
    <x:mergeCell ref="A1:J1"/>
    <x:mergeCell ref="A2:J2"/>
  </x:mergeCells>
  <x:pageMargins left="0.7" right="0.7" top="0.75" bottom="0.75" header="0.3" footer="0.3"/>
</x:worksheet>
</file>