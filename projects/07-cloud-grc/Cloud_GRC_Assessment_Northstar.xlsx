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6ce6b75e1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d677b629c29455a"/>
    <x:sheet xmlns:r="http://schemas.openxmlformats.org/officeDocument/2006/relationships" name="Cloud Inventory" sheetId="2" r:id="Rcc4aeed64f1d4bbe"/>
    <x:sheet xmlns:r="http://schemas.openxmlformats.org/officeDocument/2006/relationships" name="Shared Responsibility" sheetId="3" r:id="R7583df89fb3c4b72"/>
    <x:sheet xmlns:r="http://schemas.openxmlformats.org/officeDocument/2006/relationships" name="Control Matrix" sheetId="4" r:id="R3bdb114985f94724"/>
    <x:sheet xmlns:r="http://schemas.openxmlformats.org/officeDocument/2006/relationships" name="Evidence Index" sheetId="5" r:id="Rbf4c47681adf47e6"/>
    <x:sheet xmlns:r="http://schemas.openxmlformats.org/officeDocument/2006/relationships" name="Findings" sheetId="6" r:id="Rb4ea01f89a4b4056"/>
    <x:sheet xmlns:r="http://schemas.openxmlformats.org/officeDocument/2006/relationships" name="Remediation" sheetId="7" r:id="R8de5b598f99740b5"/>
    <x:sheet xmlns:r="http://schemas.openxmlformats.org/officeDocument/2006/relationships" name="Executive Summary" sheetId="8" r:id="Rc62cedf8e9924c91"/>
    <x:sheet xmlns:r="http://schemas.openxmlformats.org/officeDocument/2006/relationships" name="Sources" sheetId="9" r:id="R706628d9ad58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6dde90f894e67" /><Relationship Type="http://schemas.openxmlformats.org/officeDocument/2006/relationships/theme" Target="/xl/theme/theme1.xml" Id="R99b8f35e1b704d2f" /><Relationship Type="http://schemas.openxmlformats.org/officeDocument/2006/relationships/sharedStrings" Target="/xl/sharedStrings.xml" Id="R88a932882e544c64" /><Relationship Type="http://schemas.openxmlformats.org/officeDocument/2006/relationships/worksheet" Target="/xl/worksheets/sheet1.xml" Id="R4d677b629c29455a" /><Relationship Type="http://schemas.openxmlformats.org/officeDocument/2006/relationships/worksheet" Target="/xl/worksheets/sheet2.xml" Id="Rcc4aeed64f1d4bbe" /><Relationship Type="http://schemas.openxmlformats.org/officeDocument/2006/relationships/worksheet" Target="/xl/worksheets/sheet3.xml" Id="R7583df89fb3c4b72" /><Relationship Type="http://schemas.openxmlformats.org/officeDocument/2006/relationships/worksheet" Target="/xl/worksheets/sheet4.xml" Id="R3bdb114985f94724" /><Relationship Type="http://schemas.openxmlformats.org/officeDocument/2006/relationships/worksheet" Target="/xl/worksheets/sheet5.xml" Id="Rbf4c47681adf47e6" /><Relationship Type="http://schemas.openxmlformats.org/officeDocument/2006/relationships/worksheet" Target="/xl/worksheets/sheet6.xml" Id="Rb4ea01f89a4b4056" /><Relationship Type="http://schemas.openxmlformats.org/officeDocument/2006/relationships/worksheet" Target="/xl/worksheets/sheet7.xml" Id="R8de5b598f99740b5" /><Relationship Type="http://schemas.openxmlformats.org/officeDocument/2006/relationships/worksheet" Target="/xl/worksheets/sheet8.xml" Id="Rc62cedf8e9924c91" /><Relationship Type="http://schemas.openxmlformats.org/officeDocument/2006/relationships/worksheet" Target="/xl/worksheets/sheet9.xml" Id="R706628d9ad5849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65e5b4b41b45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Findings by Severity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'Dashboard'!$A$13:$A$17</c:f>
              <c:strCache>
                <c:ptCount val="0"/>
              </c:strCache>
            </c:strRef>
          </c:cat>
          <c:val>
            <c:numRef>
              <c:f>'Dashboard'!$B$13:$B$17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17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65e5b4b41b45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oudInventoryTable" displayName="CloudInventoryTable" ref="A4:L16" headerRowCount="1" totalsRowCount="0" totalsRowShown="0">
  <x:tableColumns count="12">
    <x:tableColumn id="1" name="Asset ID"/>
    <x:tableColumn id="2" name="Service"/>
    <x:tableColumn id="3" name="Workload"/>
    <x:tableColumn id="4" name="Environment"/>
    <x:tableColumn id="5" name="Data Classification"/>
    <x:tableColumn id="6" name="Business Criticality"/>
    <x:tableColumn id="7" name="Internet Exposure"/>
    <x:tableColumn id="8" name="Region"/>
    <x:tableColumn id="9" name="Owner"/>
    <x:tableColumn id="10" name="Logging"/>
    <x:tableColumn id="11" name="Backup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aredRespTable" displayName="SharedRespTable" ref="A4:H14" headerRowCount="1" totalsRowCount="0" totalsRowShown="0">
  <x:tableColumns count="8">
    <x:tableColumn id="1" name="Control Area"/>
    <x:tableColumn id="2" name="AWS / Provider Responsibility"/>
    <x:tableColumn id="3" name="Customer Responsibility"/>
    <x:tableColumn id="4" name="Evidence Expected"/>
    <x:tableColumn id="5" name="Owner"/>
    <x:tableColumn id="6" name="Status"/>
    <x:tableColumn id="7" name="Finding Link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oudControlMatrix" displayName="CloudControlMatrix" ref="A4:K19" headerRowCount="1" totalsRowCount="0" totalsRowShown="0">
  <x:tableColumns count="11">
    <x:tableColumn id="1" name="Control ID"/>
    <x:tableColumn id="2" name="Domain"/>
    <x:tableColumn id="3" name="Control Objective"/>
    <x:tableColumn id="4" name="Control Activity"/>
    <x:tableColumn id="5" name="Responsibility"/>
    <x:tableColumn id="6" name="Framework Reference"/>
    <x:tableColumn id="7" name="Evidence Required"/>
    <x:tableColumn id="8" name="ToD Result"/>
    <x:tableColumn id="9" name="ToE / Status"/>
    <x:tableColumn id="10" name="Finding ID"/>
    <x:tableColumn id="11" name="Risk Rat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oudEvidenceIndex" displayName="CloudEvidenceIndex" ref="A4:J19" headerRowCount="1" totalsRowCount="0" totalsRowShown="0">
  <x:tableColumns count="10">
    <x:tableColumn id="1" name="Evidence ID"/>
    <x:tableColumn id="2" name="Control ID"/>
    <x:tableColumn id="3" name="Artifact"/>
    <x:tableColumn id="4" name="Source / Location"/>
    <x:tableColumn id="5" name="Period"/>
    <x:tableColumn id="6" name="Owner"/>
    <x:tableColumn id="7" name="Evidence Type"/>
    <x:tableColumn id="8" name="Status"/>
    <x:tableColumn id="9" name="Review Result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oudFindings" displayName="CloudFindings" ref="A4:L8" headerRowCount="1" totalsRowCount="0" totalsRowShown="0">
  <x:tableColumns count="12">
    <x:tableColumn id="1" name="Finding ID"/>
    <x:tableColumn id="2" name="Control ID"/>
    <x:tableColumn id="3" name="Domain"/>
    <x:tableColumn id="4" name="Finding Title"/>
    <x:tableColumn id="5" name="Condition"/>
    <x:tableColumn id="6" name="Risk / Impact"/>
    <x:tableColumn id="7" name="Severity"/>
    <x:tableColumn id="8" name="Status"/>
    <x:tableColumn id="9" name="Recommendation"/>
    <x:tableColumn id="10" name="Owner"/>
    <x:tableColumn id="11" name="Target Date"/>
    <x:tableColumn id="12" name="Validation 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loudRemediation" displayName="CloudRemediation" ref="A4:K8" headerRowCount="1" totalsRowCount="0" totalsRowShown="0">
  <x:tableColumns count="11">
    <x:tableColumn id="1" name="Action ID"/>
    <x:tableColumn id="2" name="Finding ID"/>
    <x:tableColumn id="3" name="Action"/>
    <x:tableColumn id="4" name="Owner"/>
    <x:tableColumn id="5" name="Priority"/>
    <x:tableColumn id="6" name="Target Date"/>
    <x:tableColumn id="7" name="Success Measure"/>
    <x:tableColumn id="8" name="Status"/>
    <x:tableColumn id="9" name="Validation Method"/>
    <x:tableColumn id="10" name="Residual Risk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cd3105b20b4a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9d63f145694b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8337de4a2a47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03e5096a9a47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0bcd32b71041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ea154c86e74f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1e6f016a714fa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8" hidden="0" customWidth="1"/>
    <x:col min="5" max="5" width="22" hidden="0" customWidth="1"/>
    <x:col min="6" max="6" width="24" hidden="0" customWidth="1"/>
    <x:col min="7" max="7" width="48" hidden="0" customWidth="1"/>
    <x:col min="12" max="12" width="12" hidden="0" customWidth="1"/>
  </x:cols>
  <x:sheetData>
    <x:row r="1" ht="19.200000762939453" hidden="0" customHeight="1">
      <x:c r="A1" s="41" t="str">
        <x:v>Cloud GRC Assessment — Northstar Cloud Services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15" hidden="0" customHeight="1">
      <x:c r="A2" s="42" t="str">
        <x:v>Simulated Q3 2026 assessment of an AWS-based SaaS environment; all assets, evidence and findings are fictional.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 ht="15" hidden="0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15" hidden="0" customHeight="1">
      <x:c r="A4" s="44" t="str">
        <x:v>KPI</x:v>
      </x:c>
      <x:c r="B4" s="44" t="str">
        <x:v>Value</x:v>
      </x:c>
      <x:c r="C4" s="44" t="str">
        <x:v>Interpretation</x:v>
      </x:c>
      <x:c r="D4" s="43"/>
      <x:c r="E4" s="45" t="str">
        <x:v>Shared Responsibility — Control Ownership</x:v>
      </x:c>
      <x:c r="F4" s="45"/>
      <x:c r="G4" s="45"/>
      <x:c r="H4" s="45"/>
      <x:c r="I4" s="45"/>
      <x:c r="J4" s="45"/>
      <x:c r="K4" s="45"/>
      <x:c r="L4" s="45"/>
    </x:row>
    <x:row r="5" ht="15" hidden="0" customHeight="1">
      <x:c r="A5" s="43" t="str">
        <x:v>Cloud Assets</x:v>
      </x:c>
      <x:c r="B5" s="43" t="n">
        <x:f>COUNTA('Cloud Inventory'!A5:A24)</x:f>
        <x:v>12</x:v>
      </x:c>
      <x:c r="C5" s="43" t="str">
        <x:v>Assets registered in scope</x:v>
      </x:c>
      <x:c r="D5" s="43"/>
      <x:c r="E5" s="44" t="str">
        <x:v>Layer</x:v>
      </x:c>
      <x:c r="F5" s="44" t="str">
        <x:v>Primary Owner</x:v>
      </x:c>
      <x:c r="G5" s="44" t="str">
        <x:v>Typical GRC Evidence</x:v>
      </x:c>
      <x:c r="H5" s="43"/>
      <x:c r="I5" s="43"/>
      <x:c r="J5" s="43"/>
      <x:c r="K5" s="43"/>
      <x:c r="L5" s="43"/>
    </x:row>
    <x:row r="6" ht="15" hidden="0" customHeight="1">
      <x:c r="A6" s="43" t="str">
        <x:v>Controls Assessed</x:v>
      </x:c>
      <x:c r="B6" s="43" t="n">
        <x:f>COUNTA('Control Matrix'!A5:A24)</x:f>
        <x:v>15</x:v>
      </x:c>
      <x:c r="C6" s="43" t="str">
        <x:v>Cloud GRC controls mapped</x:v>
      </x:c>
      <x:c r="D6" s="43"/>
      <x:c r="E6" s="43" t="str">
        <x:v>Cloud Provider</x:v>
      </x:c>
      <x:c r="F6" s="43" t="str">
        <x:v>AWS</x:v>
      </x:c>
      <x:c r="G6" s="43" t="str">
        <x:v>Assurance reports, service documentation, platform controls</x:v>
      </x:c>
      <x:c r="H6" s="43"/>
      <x:c r="I6" s="43"/>
      <x:c r="J6" s="43"/>
      <x:c r="K6" s="43"/>
      <x:c r="L6" s="43"/>
    </x:row>
    <x:row r="7" ht="15" hidden="0" customHeight="1">
      <x:c r="A7" s="43" t="str">
        <x:v>Effective Controls</x:v>
      </x:c>
      <x:c r="B7" s="43" t="n">
        <x:f>COUNTIF('Control Matrix'!I5:I24,"Effective")</x:f>
        <x:v>11</x:v>
      </x:c>
      <x:c r="C7" s="43" t="str">
        <x:v>Controls assessed as effective</x:v>
      </x:c>
      <x:c r="D7" s="43"/>
      <x:c r="E7" s="43" t="str">
        <x:v>Customer Cloud Config</x:v>
      </x:c>
      <x:c r="F7" s="43" t="str">
        <x:v>Northstar Cloud Team</x:v>
      </x:c>
      <x:c r="G7" s="43" t="str">
        <x:v>IAM, network, logging, encryption and configuration evidence</x:v>
      </x:c>
      <x:c r="H7" s="43"/>
      <x:c r="I7" s="43"/>
      <x:c r="J7" s="43"/>
      <x:c r="K7" s="43"/>
      <x:c r="L7" s="43"/>
    </x:row>
    <x:row r="8" ht="15" hidden="0" customHeight="1">
      <x:c r="A8" s="43" t="str">
        <x:v>Open Findings</x:v>
      </x:c>
      <x:c r="B8" s="43" t="n">
        <x:f>COUNTIF('Findings'!H5:H24,"Open")</x:f>
        <x:v>4</x:v>
      </x:c>
      <x:c r="C8" s="43" t="str">
        <x:v>Unresolved assessment findings</x:v>
      </x:c>
      <x:c r="D8" s="43"/>
      <x:c r="E8" s="43" t="str">
        <x:v>Workload / Application</x:v>
      </x:c>
      <x:c r="F8" s="43" t="str">
        <x:v>Application Owners</x:v>
      </x:c>
      <x:c r="G8" s="43" t="str">
        <x:v>SDLC, vulnerability management, secrets, data protection</x:v>
      </x:c>
      <x:c r="H8" s="43"/>
      <x:c r="I8" s="43"/>
      <x:c r="J8" s="43"/>
      <x:c r="K8" s="43"/>
      <x:c r="L8" s="43"/>
    </x:row>
    <x:row r="9" ht="15" hidden="0" customHeight="1">
      <x:c r="A9" s="43" t="str">
        <x:v>High / Critical Findings</x:v>
      </x:c>
      <x:c r="B9" s="43" t="n">
        <x:f>COUNTIF('Findings'!G5:G24,"High")+COUNTIF('Findings'!G5:G24,"Critical")</x:f>
        <x:v>3</x:v>
      </x:c>
      <x:c r="C9" s="43" t="str">
        <x:v>Priority findings requiring management attention</x:v>
      </x:c>
      <x:c r="D9" s="43"/>
      <x:c r="E9" s="43"/>
      <x:c r="F9" s="43"/>
      <x:c r="G9" s="43"/>
      <x:c r="H9" s="43"/>
      <x:c r="I9" s="43"/>
      <x:c r="J9" s="43"/>
      <x:c r="K9" s="43"/>
      <x:c r="L9" s="43"/>
    </x:row>
    <x:row r="10" ht="15" hidden="0" customHeight="1">
      <x:c r="A10" s="43" t="str">
        <x:v>Evidence Records</x:v>
      </x:c>
      <x:c r="B10" s="43" t="n">
        <x:f>COUNTA('Evidence Index'!A5:A34)</x:f>
        <x:v>15</x:v>
      </x:c>
      <x:c r="C10" s="43" t="str">
        <x:v>Evidence artifacts indexed</x:v>
      </x:c>
      <x:c r="D10" s="43"/>
      <x:c r="E10" s="45" t="str">
        <x:v>Assessment Themes</x:v>
      </x:c>
      <x:c r="F10" s="45"/>
      <x:c r="G10" s="45"/>
      <x:c r="H10" s="45"/>
      <x:c r="I10" s="45"/>
      <x:c r="J10" s="45"/>
      <x:c r="K10" s="45"/>
      <x:c r="L10" s="45"/>
    </x:row>
    <x:row r="11" ht="15" hidden="0" customHeight="1">
      <x:c r="A11" s="43"/>
      <x:c r="B11" s="43"/>
      <x:c r="C11" s="43"/>
      <x:c r="D11" s="43"/>
      <x:c r="E11" s="44" t="str">
        <x:v>Theme</x:v>
      </x:c>
      <x:c r="F11" s="44" t="str">
        <x:v>Status</x:v>
      </x:c>
      <x:c r="G11" s="44" t="str">
        <x:v>Observation</x:v>
      </x:c>
      <x:c r="H11" s="43"/>
      <x:c r="I11" s="43"/>
      <x:c r="J11" s="43"/>
      <x:c r="K11" s="43"/>
      <x:c r="L11" s="43"/>
    </x:row>
    <x:row r="12" ht="15" hidden="0" customHeight="1">
      <x:c r="A12" s="44" t="str">
        <x:v>Risk Tier</x:v>
      </x:c>
      <x:c r="B12" s="44" t="str">
        <x:v>Count</x:v>
      </x:c>
      <x:c r="C12" s="44" t="str">
        <x:v>Action</x:v>
      </x:c>
      <x:c r="D12" s="43"/>
      <x:c r="E12" s="43" t="str">
        <x:v>Identity &amp; Access</x:v>
      </x:c>
      <x:c r="F12" s="43" t="str">
        <x:v>Needs Improvement</x:v>
      </x:c>
      <x:c r="G12" s="43" t="str">
        <x:v>Two privileged access observations require remediation.</x:v>
      </x:c>
      <x:c r="H12" s="43"/>
      <x:c r="I12" s="43"/>
      <x:c r="J12" s="43"/>
      <x:c r="K12" s="43"/>
      <x:c r="L12" s="43"/>
    </x:row>
    <x:row r="13" ht="26.399999618530273" hidden="0" customHeight="1">
      <x:c r="A13" s="43" t="str">
        <x:v>Critical</x:v>
      </x:c>
      <x:c r="B13" s="43" t="n">
        <x:f>COUNTIF('Findings'!G5:G24,"Critical")</x:f>
        <x:v>0</x:v>
      </x:c>
      <x:c r="C13" s="43" t="str">
        <x:v>Executive attention</x:v>
      </x:c>
      <x:c r="D13" s="43"/>
      <x:c r="E13" s="43" t="str">
        <x:v>Logging &amp; Monitoring</x:v>
      </x:c>
      <x:c r="F13" s="43" t="str">
        <x:v>Effective</x:v>
      </x:c>
      <x:c r="G13" s="43" t="str">
        <x:v>Centralized logging is enabled for in-scope production workloads.</x:v>
      </x:c>
      <x:c r="H13" s="43"/>
      <x:c r="I13" s="43"/>
      <x:c r="J13" s="43"/>
      <x:c r="K13" s="43"/>
      <x:c r="L13" s="43"/>
    </x:row>
    <x:row r="14" ht="26.399999618530273" hidden="0" customHeight="1">
      <x:c r="A14" s="43" t="str">
        <x:v>High</x:v>
      </x:c>
      <x:c r="B14" s="43" t="n">
        <x:f>COUNTIF('Findings'!G5:G24,"High")</x:f>
        <x:v>3</x:v>
      </x:c>
      <x:c r="C14" s="43" t="str">
        <x:v>Remediate / track</x:v>
      </x:c>
      <x:c r="D14" s="43"/>
      <x:c r="E14" s="43" t="str">
        <x:v>Encryption</x:v>
      </x:c>
      <x:c r="F14" s="43" t="str">
        <x:v>Effective</x:v>
      </x:c>
      <x:c r="G14" s="43" t="str">
        <x:v>Encryption at rest and in transit is configured for scoped data stores.</x:v>
      </x:c>
      <x:c r="H14" s="43"/>
      <x:c r="I14" s="43"/>
      <x:c r="J14" s="43"/>
      <x:c r="K14" s="43"/>
      <x:c r="L14" s="43"/>
    </x:row>
    <x:row r="15" ht="15" hidden="0" customHeight="1">
      <x:c r="A15" s="43" t="str">
        <x:v>Medium</x:v>
      </x:c>
      <x:c r="B15" s="43" t="n">
        <x:f>COUNTIF('Findings'!G5:G24,"Medium")</x:f>
        <x:v>1</x:v>
      </x:c>
      <x:c r="C15" s="43" t="str">
        <x:v>Planned treatment</x:v>
      </x:c>
      <x:c r="D15" s="43"/>
      <x:c r="E15" s="43" t="str">
        <x:v>Backup &amp; Recovery</x:v>
      </x:c>
      <x:c r="F15" s="43" t="str">
        <x:v>Needs Improvement</x:v>
      </x:c>
      <x:c r="G15" s="43" t="str">
        <x:v>Restore-test evidence is incomplete for one critical workload.</x:v>
      </x:c>
      <x:c r="H15" s="43"/>
      <x:c r="I15" s="43"/>
      <x:c r="J15" s="43"/>
      <x:c r="K15" s="43"/>
      <x:c r="L15" s="43"/>
    </x:row>
    <x:row r="16" ht="15" hidden="0" customHeight="1">
      <x:c r="A16" s="43" t="str">
        <x:v>Low</x:v>
      </x:c>
      <x:c r="B16" s="43" t="n">
        <x:f>COUNTIF('Findings'!G5:G24,"Low")</x:f>
        <x:v>0</x:v>
      </x:c>
      <x:c r="C16" s="43" t="str">
        <x:v>Routine monitoring</x:v>
      </x:c>
      <x:c r="D16" s="43"/>
      <x:c r="E16" s="43" t="str">
        <x:v>Configuration Management</x:v>
      </x:c>
      <x:c r="F16" s="43" t="str">
        <x:v>Needs Improvement</x:v>
      </x:c>
      <x:c r="G16" s="43" t="str">
        <x:v>One public-facing storage configuration exception identified.</x:v>
      </x:c>
      <x:c r="H16" s="43"/>
      <x:c r="I16" s="43"/>
      <x:c r="J16" s="43"/>
      <x:c r="K16" s="43"/>
      <x:c r="L16" s="43"/>
    </x:row>
    <x:row r="17" ht="15" hidden="0" customHeight="1">
      <x:c r="A17" s="43" t="str">
        <x:v>Informational</x:v>
      </x:c>
      <x:c r="B17" s="43" t="n">
        <x:f>COUNTIF('Findings'!G5:G24,"Informational")</x:f>
        <x:v>0</x:v>
      </x:c>
      <x:c r="C17" s="43" t="str">
        <x:v>Document / monitor</x:v>
      </x:c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</x:sheetData>
  <x:mergeCells>
    <x:mergeCell ref="A1:L1"/>
    <x:mergeCell ref="A2:L2"/>
    <x:mergeCell ref="E4:L4"/>
    <x:mergeCell ref="E10:L10"/>
  </x:mergeCells>
  <x:conditionalFormatting sqref="B8:B9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B13:B17">
    <x:cfRule type="dataBar" priority="2">
      <x:dataBar>
        <x:cfvo type="min"/>
        <x:cfvo type="max"/>
        <x:color rgb="FFED7D31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6cd3105b20b4a5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5B9BD5"/>
            </x14:dataBar>
          </x14:cfRule>
          <xm:sqref>B8:B9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ED7D31"/>
            </x14:dataBar>
          </x14:cfRule>
          <xm:sqref>B13:B17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2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20" hidden="0" customWidth="1"/>
    <x:col min="10" max="10" width="14" hidden="0" customWidth="1"/>
    <x:col min="11" max="11" width="12" hidden="0" customWidth="1"/>
    <x:col min="12" max="12" width="30" hidden="0" customWidth="1"/>
  </x:cols>
  <x:sheetData>
    <x:row r="1">
      <x:c r="A1" s="41" t="str">
        <x:v>Cloud Asset &amp; Service Inventory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>
      <x:c r="A2" s="42" t="str">
        <x:v>Fictional Northstar AWS environment supporting customer-facing SaaS, security operations and corporate services.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>
      <x:c r="A4" s="44" t="str">
        <x:v>Asset ID</x:v>
      </x:c>
      <x:c r="B4" s="44" t="str">
        <x:v>Service</x:v>
      </x:c>
      <x:c r="C4" s="44" t="str">
        <x:v>Workload</x:v>
      </x:c>
      <x:c r="D4" s="44" t="str">
        <x:v>Environment</x:v>
      </x:c>
      <x:c r="E4" s="44" t="str">
        <x:v>Data Classification</x:v>
      </x:c>
      <x:c r="F4" s="44" t="str">
        <x:v>Business Criticality</x:v>
      </x:c>
      <x:c r="G4" s="44" t="str">
        <x:v>Internet Exposure</x:v>
      </x:c>
      <x:c r="H4" s="44" t="str">
        <x:v>Region</x:v>
      </x:c>
      <x:c r="I4" s="44" t="str">
        <x:v>Owner</x:v>
      </x:c>
      <x:c r="J4" s="44" t="str">
        <x:v>Logging</x:v>
      </x:c>
      <x:c r="K4" s="44" t="str">
        <x:v>Backup</x:v>
      </x:c>
      <x:c r="L4" s="44" t="str">
        <x:v>Notes</x:v>
      </x:c>
    </x:row>
    <x:row r="5">
      <x:c r="A5" s="43" t="str">
        <x:v>AST-001</x:v>
      </x:c>
      <x:c r="B5" s="43" t="str">
        <x:v>Amazon EC2</x:v>
      </x:c>
      <x:c r="C5" s="43" t="str">
        <x:v>Web API</x:v>
      </x:c>
      <x:c r="D5" s="43" t="str">
        <x:v>Prod</x:v>
      </x:c>
      <x:c r="E5" s="43" t="str">
        <x:v>Confidential</x:v>
      </x:c>
      <x:c r="F5" s="43" t="str">
        <x:v>High</x:v>
      </x:c>
      <x:c r="G5" s="43" t="str">
        <x:v>Public</x:v>
      </x:c>
      <x:c r="H5" s="43" t="str">
        <x:v>ap-south-1</x:v>
      </x:c>
      <x:c r="I5" s="43" t="str">
        <x:v>Platform Team</x:v>
      </x:c>
      <x:c r="J5" s="43" t="str">
        <x:v>Enabled</x:v>
      </x:c>
      <x:c r="K5" s="43" t="str">
        <x:v>Daily</x:v>
      </x:c>
      <x:c r="L5" s="43" t="str">
        <x:v>Customer-facing API</x:v>
      </x:c>
    </x:row>
    <x:row r="6">
      <x:c r="A6" s="43" t="str">
        <x:v>AST-002</x:v>
      </x:c>
      <x:c r="B6" s="43" t="str">
        <x:v>Amazon RDS</x:v>
      </x:c>
      <x:c r="C6" s="43" t="str">
        <x:v>Application DB</x:v>
      </x:c>
      <x:c r="D6" s="43" t="str">
        <x:v>Prod</x:v>
      </x:c>
      <x:c r="E6" s="43" t="str">
        <x:v>Restricted</x:v>
      </x:c>
      <x:c r="F6" s="43" t="str">
        <x:v>Critical</x:v>
      </x:c>
      <x:c r="G6" s="43" t="str">
        <x:v>Private</x:v>
      </x:c>
      <x:c r="H6" s="43" t="str">
        <x:v>ap-south-1</x:v>
      </x:c>
      <x:c r="I6" s="43" t="str">
        <x:v>DBA Team</x:v>
      </x:c>
      <x:c r="J6" s="43" t="str">
        <x:v>Enabled</x:v>
      </x:c>
      <x:c r="K6" s="43" t="str">
        <x:v>Daily</x:v>
      </x:c>
      <x:c r="L6" s="43" t="str">
        <x:v>Customer/customer activity data</x:v>
      </x:c>
    </x:row>
    <x:row r="7">
      <x:c r="A7" s="43" t="str">
        <x:v>AST-003</x:v>
      </x:c>
      <x:c r="B7" s="43" t="str">
        <x:v>Amazon S3</x:v>
      </x:c>
      <x:c r="C7" s="43" t="str">
        <x:v>Customer documents</x:v>
      </x:c>
      <x:c r="D7" s="43" t="str">
        <x:v>Prod</x:v>
      </x:c>
      <x:c r="E7" s="43" t="str">
        <x:v>Restricted</x:v>
      </x:c>
      <x:c r="F7" s="43" t="str">
        <x:v>High</x:v>
      </x:c>
      <x:c r="G7" s="43" t="str">
        <x:v>Private</x:v>
      </x:c>
      <x:c r="H7" s="43" t="str">
        <x:v>ap-south-1</x:v>
      </x:c>
      <x:c r="I7" s="43" t="str">
        <x:v>Storage Team</x:v>
      </x:c>
      <x:c r="J7" s="43" t="str">
        <x:v>Enabled</x:v>
      </x:c>
      <x:c r="K7" s="43" t="str">
        <x:v>Daily</x:v>
      </x:c>
      <x:c r="L7" s="43" t="str">
        <x:v>Object lock not enabled</x:v>
      </x:c>
    </x:row>
    <x:row r="8">
      <x:c r="A8" s="43" t="str">
        <x:v>AST-004</x:v>
      </x:c>
      <x:c r="B8" s="43" t="str">
        <x:v>Amazon EKS</x:v>
      </x:c>
      <x:c r="C8" s="43" t="str">
        <x:v>Microservices</x:v>
      </x:c>
      <x:c r="D8" s="43" t="str">
        <x:v>Prod</x:v>
      </x:c>
      <x:c r="E8" s="43" t="str">
        <x:v>Confidential</x:v>
      </x:c>
      <x:c r="F8" s="43" t="str">
        <x:v>High</x:v>
      </x:c>
      <x:c r="G8" s="43" t="str">
        <x:v>Public</x:v>
      </x:c>
      <x:c r="H8" s="43" t="str">
        <x:v>ap-south-1</x:v>
      </x:c>
      <x:c r="I8" s="43" t="str">
        <x:v>Platform Team</x:v>
      </x:c>
      <x:c r="J8" s="43" t="str">
        <x:v>Enabled</x:v>
      </x:c>
      <x:c r="K8" s="43" t="str">
        <x:v>Daily</x:v>
      </x:c>
      <x:c r="L8" s="43" t="str">
        <x:v>Ingress via load balancer</x:v>
      </x:c>
    </x:row>
    <x:row r="9">
      <x:c r="A9" s="43" t="str">
        <x:v>AST-005</x:v>
      </x:c>
      <x:c r="B9" s="43" t="str">
        <x:v>AWS IAM</x:v>
      </x:c>
      <x:c r="C9" s="43" t="str">
        <x:v>Cloud identities</x:v>
      </x:c>
      <x:c r="D9" s="43" t="str">
        <x:v>All</x:v>
      </x:c>
      <x:c r="E9" s="43" t="str">
        <x:v>Restricted</x:v>
      </x:c>
      <x:c r="F9" s="43" t="str">
        <x:v>Critical</x:v>
      </x:c>
      <x:c r="G9" s="43" t="str">
        <x:v>N/A</x:v>
      </x:c>
      <x:c r="H9" s="43" t="str">
        <x:v>Global</x:v>
      </x:c>
      <x:c r="I9" s="43" t="str">
        <x:v>IAM Team</x:v>
      </x:c>
      <x:c r="J9" s="43" t="str">
        <x:v>CloudTrail</x:v>
      </x:c>
      <x:c r="K9" s="43" t="str">
        <x:v>N/A</x:v>
      </x:c>
      <x:c r="L9" s="43" t="str">
        <x:v>Privileged roles in scope</x:v>
      </x:c>
    </x:row>
    <x:row r="10">
      <x:c r="A10" s="43" t="str">
        <x:v>AST-006</x:v>
      </x:c>
      <x:c r="B10" s="43" t="str">
        <x:v>AWS CloudTrail</x:v>
      </x:c>
      <x:c r="C10" s="43" t="str">
        <x:v>Audit logging</x:v>
      </x:c>
      <x:c r="D10" s="43" t="str">
        <x:v>All</x:v>
      </x:c>
      <x:c r="E10" s="43" t="str">
        <x:v>Restricted</x:v>
      </x:c>
      <x:c r="F10" s="43" t="str">
        <x:v>High</x:v>
      </x:c>
      <x:c r="G10" s="43" t="str">
        <x:v>N/A</x:v>
      </x:c>
      <x:c r="H10" s="43" t="str">
        <x:v>Global</x:v>
      </x:c>
      <x:c r="I10" s="43" t="str">
        <x:v>Security Team</x:v>
      </x:c>
      <x:c r="J10" s="43" t="str">
        <x:v>Enabled</x:v>
      </x:c>
      <x:c r="K10" s="43" t="str">
        <x:v>N/A</x:v>
      </x:c>
      <x:c r="L10" s="43" t="str">
        <x:v>Org trail enabled</x:v>
      </x:c>
    </x:row>
    <x:row r="11">
      <x:c r="A11" s="43" t="str">
        <x:v>AST-007</x:v>
      </x:c>
      <x:c r="B11" s="43" t="str">
        <x:v>Amazon GuardDuty</x:v>
      </x:c>
      <x:c r="C11" s="43" t="str">
        <x:v>Threat detection</x:v>
      </x:c>
      <x:c r="D11" s="43" t="str">
        <x:v>Prod</x:v>
      </x:c>
      <x:c r="E11" s="43" t="str">
        <x:v>Internal</x:v>
      </x:c>
      <x:c r="F11" s="43" t="str">
        <x:v>High</x:v>
      </x:c>
      <x:c r="G11" s="43" t="str">
        <x:v>N/A</x:v>
      </x:c>
      <x:c r="H11" s="43" t="str">
        <x:v>ap-south-1</x:v>
      </x:c>
      <x:c r="I11" s="43" t="str">
        <x:v>Security Team</x:v>
      </x:c>
      <x:c r="J11" s="43" t="str">
        <x:v>Enabled</x:v>
      </x:c>
      <x:c r="K11" s="43" t="str">
        <x:v>N/A</x:v>
      </x:c>
      <x:c r="L11" s="43" t="str">
        <x:v>Findings routed to SOC</x:v>
      </x:c>
    </x:row>
    <x:row r="12">
      <x:c r="A12" s="43" t="str">
        <x:v>AST-008</x:v>
      </x:c>
      <x:c r="B12" s="43" t="str">
        <x:v>AWS KMS</x:v>
      </x:c>
      <x:c r="C12" s="43" t="str">
        <x:v>Encryption keys</x:v>
      </x:c>
      <x:c r="D12" s="43" t="str">
        <x:v>All</x:v>
      </x:c>
      <x:c r="E12" s="43" t="str">
        <x:v>Restricted</x:v>
      </x:c>
      <x:c r="F12" s="43" t="str">
        <x:v>Critical</x:v>
      </x:c>
      <x:c r="G12" s="43" t="str">
        <x:v>N/A</x:v>
      </x:c>
      <x:c r="H12" s="43" t="str">
        <x:v>ap-south-1</x:v>
      </x:c>
      <x:c r="I12" s="43" t="str">
        <x:v>Security Team</x:v>
      </x:c>
      <x:c r="J12" s="43" t="str">
        <x:v>Enabled</x:v>
      </x:c>
      <x:c r="K12" s="43" t="str">
        <x:v>N/A</x:v>
      </x:c>
      <x:c r="L12" s="43" t="str">
        <x:v>Customer-managed keys</x:v>
      </x:c>
    </x:row>
    <x:row r="13">
      <x:c r="A13" s="43" t="str">
        <x:v>AST-009</x:v>
      </x:c>
      <x:c r="B13" s="43" t="str">
        <x:v>AWS Backup</x:v>
      </x:c>
      <x:c r="C13" s="43" t="str">
        <x:v>Backup service</x:v>
      </x:c>
      <x:c r="D13" s="43" t="str">
        <x:v>Prod</x:v>
      </x:c>
      <x:c r="E13" s="43" t="str">
        <x:v>Internal</x:v>
      </x:c>
      <x:c r="F13" s="43" t="str">
        <x:v>High</x:v>
      </x:c>
      <x:c r="G13" s="43" t="str">
        <x:v>N/A</x:v>
      </x:c>
      <x:c r="H13" s="43" t="str">
        <x:v>ap-south-1</x:v>
      </x:c>
      <x:c r="I13" s="43" t="str">
        <x:v>Infrastructure</x:v>
      </x:c>
      <x:c r="J13" s="43" t="str">
        <x:v>Enabled</x:v>
      </x:c>
      <x:c r="K13" s="43" t="str">
        <x:v>N/A</x:v>
      </x:c>
      <x:c r="L13" s="43" t="str">
        <x:v>Central backup policies</x:v>
      </x:c>
    </x:row>
    <x:row r="14">
      <x:c r="A14" s="43" t="str">
        <x:v>AST-010</x:v>
      </x:c>
      <x:c r="B14" s="43" t="str">
        <x:v>Amazon VPC</x:v>
      </x:c>
      <x:c r="C14" s="43" t="str">
        <x:v>Network boundary</x:v>
      </x:c>
      <x:c r="D14" s="43" t="str">
        <x:v>Prod</x:v>
      </x:c>
      <x:c r="E14" s="43" t="str">
        <x:v>Internal</x:v>
      </x:c>
      <x:c r="F14" s="43" t="str">
        <x:v>Critical</x:v>
      </x:c>
      <x:c r="G14" s="43" t="str">
        <x:v>Partial</x:v>
      </x:c>
      <x:c r="H14" s="43" t="str">
        <x:v>ap-south-1</x:v>
      </x:c>
      <x:c r="I14" s="43" t="str">
        <x:v>Network Team</x:v>
      </x:c>
      <x:c r="J14" s="43" t="str">
        <x:v>Flow Logs</x:v>
      </x:c>
      <x:c r="K14" s="43" t="str">
        <x:v>N/A</x:v>
      </x:c>
      <x:c r="L14" s="43" t="str">
        <x:v>Private subnets for data tier</x:v>
      </x:c>
    </x:row>
    <x:row r="15">
      <x:c r="A15" s="43" t="str">
        <x:v>AST-011</x:v>
      </x:c>
      <x:c r="B15" s="43" t="str">
        <x:v>AWS WAF</x:v>
      </x:c>
      <x:c r="C15" s="43" t="str">
        <x:v>Web protection</x:v>
      </x:c>
      <x:c r="D15" s="43" t="str">
        <x:v>Prod</x:v>
      </x:c>
      <x:c r="E15" s="43" t="str">
        <x:v>Internal</x:v>
      </x:c>
      <x:c r="F15" s="43" t="str">
        <x:v>High</x:v>
      </x:c>
      <x:c r="G15" s="43" t="str">
        <x:v>Public</x:v>
      </x:c>
      <x:c r="H15" s="43" t="str">
        <x:v>ap-south-1</x:v>
      </x:c>
      <x:c r="I15" s="43" t="str">
        <x:v>Platform Team</x:v>
      </x:c>
      <x:c r="J15" s="43" t="str">
        <x:v>Enabled</x:v>
      </x:c>
      <x:c r="K15" s="43" t="str">
        <x:v>N/A</x:v>
      </x:c>
      <x:c r="L15" s="43" t="str">
        <x:v>Protects public endpoints</x:v>
      </x:c>
    </x:row>
    <x:row r="16">
      <x:c r="A16" s="43" t="str">
        <x:v>AST-012</x:v>
      </x:c>
      <x:c r="B16" s="43" t="str">
        <x:v>AWS Secrets Manager</x:v>
      </x:c>
      <x:c r="C16" s="43" t="str">
        <x:v>Application secrets</x:v>
      </x:c>
      <x:c r="D16" s="43" t="str">
        <x:v>Prod</x:v>
      </x:c>
      <x:c r="E16" s="43" t="str">
        <x:v>Restricted</x:v>
      </x:c>
      <x:c r="F16" s="43" t="str">
        <x:v>High</x:v>
      </x:c>
      <x:c r="G16" s="43" t="str">
        <x:v>Private</x:v>
      </x:c>
      <x:c r="H16" s="43" t="str">
        <x:v>ap-south-1</x:v>
      </x:c>
      <x:c r="I16" s="43" t="str">
        <x:v>Platform Team</x:v>
      </x:c>
      <x:c r="J16" s="43" t="str">
        <x:v>Enabled</x:v>
      </x:c>
      <x:c r="K16" s="43" t="str">
        <x:v>N/A</x:v>
      </x:c>
      <x:c r="L16" s="43" t="str">
        <x:v>Rotation configured for database credentials</x:v>
      </x:c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c9d63f145694b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8" hidden="0" customWidth="1"/>
    <x:col min="4" max="4" width="34" hidden="0" customWidth="1"/>
    <x:col min="5" max="5" width="22" hidden="0" customWidth="1"/>
    <x:col min="6" max="6" width="18" hidden="0" customWidth="1"/>
    <x:col min="7" max="7" width="16" hidden="0" customWidth="1"/>
    <x:col min="8" max="8" width="28" hidden="0" customWidth="1"/>
  </x:cols>
  <x:sheetData>
    <x:row r="1" ht="19.200000762939453" hidden="0" customHeight="1">
      <x:c r="A1" s="41" t="str">
        <x:v>AWS Shared Responsibility Control Map</x:v>
      </x:c>
      <x:c r="B1" s="41"/>
      <x:c r="C1" s="41"/>
      <x:c r="D1" s="41"/>
      <x:c r="E1" s="41"/>
      <x:c r="F1" s="41"/>
      <x:c r="G1" s="41"/>
      <x:c r="H1" s="41"/>
      <x:c r="I1" s="43"/>
      <x:c r="J1" s="43"/>
      <x:c r="K1" s="43"/>
      <x:c r="L1" s="43"/>
    </x:row>
    <x:row r="2" ht="15" hidden="0" customHeight="1">
      <x:c r="A2" s="42" t="str">
        <x:v>AWS describes cloud security as shared: AWS protects the cloud infrastructure; customer responsibility varies by service and includes configuration, data, IAM and workloads.</x:v>
      </x:c>
      <x:c r="B2" s="42"/>
      <x:c r="C2" s="42"/>
      <x:c r="D2" s="42"/>
      <x:c r="E2" s="42"/>
      <x:c r="F2" s="42"/>
      <x:c r="G2" s="42"/>
      <x:c r="H2" s="42"/>
      <x:c r="I2" s="43"/>
      <x:c r="J2" s="43"/>
      <x:c r="K2" s="43"/>
      <x:c r="L2" s="43"/>
    </x:row>
    <x:row r="3" ht="15" hidden="0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15" hidden="0" customHeight="1">
      <x:c r="A4" s="44" t="str">
        <x:v>Control Area</x:v>
      </x:c>
      <x:c r="B4" s="44" t="str">
        <x:v>AWS / Provider Responsibility</x:v>
      </x:c>
      <x:c r="C4" s="44" t="str">
        <x:v>Customer Responsibility</x:v>
      </x:c>
      <x:c r="D4" s="44" t="str">
        <x:v>Evidence Expected</x:v>
      </x:c>
      <x:c r="E4" s="44" t="str">
        <x:v>Owner</x:v>
      </x:c>
      <x:c r="F4" s="44" t="str">
        <x:v>Status</x:v>
      </x:c>
      <x:c r="G4" s="44" t="str">
        <x:v>Finding Link</x:v>
      </x:c>
      <x:c r="H4" s="44" t="str">
        <x:v>Notes</x:v>
      </x:c>
      <x:c r="I4" s="43"/>
      <x:c r="J4" s="43"/>
      <x:c r="K4" s="43"/>
      <x:c r="L4" s="43"/>
    </x:row>
    <x:row r="5" ht="26.399999618530273" hidden="0" customHeight="1">
      <x:c r="A5" s="43" t="str">
        <x:v>Physical security</x:v>
      </x:c>
      <x:c r="B5" s="43" t="str">
        <x:v>Facilities, hardware and physical infrastructure</x:v>
      </x:c>
      <x:c r="C5" s="43" t="str">
        <x:v>N/A</x:v>
      </x:c>
      <x:c r="D5" s="43" t="str">
        <x:v>Provider assurance / compliance reports</x:v>
      </x:c>
      <x:c r="E5" s="43" t="str">
        <x:v>AWS</x:v>
      </x:c>
      <x:c r="F5" s="43" t="str">
        <x:v>Inherited</x:v>
      </x:c>
      <x:c r="G5" s="43" t="str"/>
      <x:c r="H5" s="43" t="str">
        <x:v>Inherited control</x:v>
      </x:c>
      <x:c r="I5" s="43"/>
      <x:c r="J5" s="43"/>
      <x:c r="K5" s="43"/>
      <x:c r="L5" s="43"/>
    </x:row>
    <x:row r="6" ht="15" hidden="0" customHeight="1">
      <x:c r="A6" s="43" t="str">
        <x:v>Hypervisor / managed platform</x:v>
      </x:c>
      <x:c r="B6" s="43" t="str">
        <x:v>Underlying managed infrastructure</x:v>
      </x:c>
      <x:c r="C6" s="43" t="str">
        <x:v>Service configuration where applicable</x:v>
      </x:c>
      <x:c r="D6" s="43" t="str">
        <x:v>Provider assurance / service docs</x:v>
      </x:c>
      <x:c r="E6" s="43" t="str">
        <x:v>AWS + Customer</x:v>
      </x:c>
      <x:c r="F6" s="43" t="str">
        <x:v>Shared</x:v>
      </x:c>
      <x:c r="G6" s="43" t="str"/>
      <x:c r="H6" s="43" t="str">
        <x:v>Depends on service</x:v>
      </x:c>
      <x:c r="I6" s="43"/>
      <x:c r="J6" s="43"/>
      <x:c r="K6" s="43"/>
      <x:c r="L6" s="43"/>
    </x:row>
    <x:row r="7" ht="26.399999618530273" hidden="0" customHeight="1">
      <x:c r="A7" s="43" t="str">
        <x:v>IAM</x:v>
      </x:c>
      <x:c r="B7" s="43" t="str">
        <x:v>Provides IAM platform and security capabilities</x:v>
      </x:c>
      <x:c r="C7" s="43" t="str">
        <x:v>Users, roles, least privilege, MFA, access reviews</x:v>
      </x:c>
      <x:c r="D7" s="43" t="str">
        <x:v>IAM config, access reviews, role inventory</x:v>
      </x:c>
      <x:c r="E7" s="43" t="str">
        <x:v>Northstar IAM</x:v>
      </x:c>
      <x:c r="F7" s="43" t="str">
        <x:v>Needs Improvement</x:v>
      </x:c>
      <x:c r="G7" s="43" t="str">
        <x:v>CLD-F001</x:v>
      </x:c>
      <x:c r="H7" s="43" t="str">
        <x:v>Privileged access exception</x:v>
      </x:c>
      <x:c r="I7" s="43"/>
      <x:c r="J7" s="43"/>
      <x:c r="K7" s="43"/>
      <x:c r="L7" s="43"/>
    </x:row>
    <x:row r="8" ht="15" hidden="0" customHeight="1">
      <x:c r="A8" s="43" t="str">
        <x:v>Network controls</x:v>
      </x:c>
      <x:c r="B8" s="43" t="str">
        <x:v>Underlying cloud network infrastructure</x:v>
      </x:c>
      <x:c r="C8" s="43" t="str">
        <x:v>VPC design, security groups, NACLs, routing</x:v>
      </x:c>
      <x:c r="D8" s="43" t="str">
        <x:v>Architecture, SG/NACL review</x:v>
      </x:c>
      <x:c r="E8" s="43" t="str">
        <x:v>Northstar Network</x:v>
      </x:c>
      <x:c r="F8" s="43" t="str">
        <x:v>Effective</x:v>
      </x:c>
      <x:c r="G8" s="43" t="str"/>
      <x:c r="H8" s="43" t="str"/>
      <x:c r="I8" s="43"/>
      <x:c r="J8" s="43"/>
      <x:c r="K8" s="43"/>
      <x:c r="L8" s="43"/>
    </x:row>
    <x:row r="9" ht="26.399999618530273" hidden="0" customHeight="1">
      <x:c r="A9" s="43" t="str">
        <x:v>Logging</x:v>
      </x:c>
      <x:c r="B9" s="43" t="str">
        <x:v>Platform audit capabilities</x:v>
      </x:c>
      <x:c r="C9" s="43" t="str">
        <x:v>Enable/configure logging, retention and monitoring</x:v>
      </x:c>
      <x:c r="D9" s="43" t="str">
        <x:v>CloudTrail config, SIEM evidence</x:v>
      </x:c>
      <x:c r="E9" s="43" t="str">
        <x:v>Northstar Security</x:v>
      </x:c>
      <x:c r="F9" s="43" t="str">
        <x:v>Effective</x:v>
      </x:c>
      <x:c r="G9" s="43" t="str"/>
      <x:c r="H9" s="43" t="str"/>
      <x:c r="I9" s="43"/>
      <x:c r="J9" s="43"/>
      <x:c r="K9" s="43"/>
      <x:c r="L9" s="43"/>
    </x:row>
    <x:row r="10" ht="26.399999618530273" hidden="0" customHeight="1">
      <x:c r="A10" s="43" t="str">
        <x:v>Data protection</x:v>
      </x:c>
      <x:c r="B10" s="43" t="str">
        <x:v>Platform security for managed-service infrastructure</x:v>
      </x:c>
      <x:c r="C10" s="43" t="str">
        <x:v>Classification, encryption choices, key management, access</x:v>
      </x:c>
      <x:c r="D10" s="43" t="str">
        <x:v>KMS config, encryption settings</x:v>
      </x:c>
      <x:c r="E10" s="43" t="str">
        <x:v>Northstar Security</x:v>
      </x:c>
      <x:c r="F10" s="43" t="str">
        <x:v>Effective</x:v>
      </x:c>
      <x:c r="G10" s="43" t="str"/>
      <x:c r="H10" s="43" t="str"/>
      <x:c r="I10" s="43"/>
      <x:c r="J10" s="43"/>
      <x:c r="K10" s="43"/>
      <x:c r="L10" s="43"/>
    </x:row>
    <x:row r="11" ht="26.399999618530273" hidden="0" customHeight="1">
      <x:c r="A11" s="43" t="str">
        <x:v>Patch / vulnerability</x:v>
      </x:c>
      <x:c r="B11" s="43" t="str">
        <x:v>Provider patches managed components where applicable</x:v>
      </x:c>
      <x:c r="C11" s="43" t="str">
        <x:v>Customer patching for guest OS/workloads and application components</x:v>
      </x:c>
      <x:c r="D11" s="43" t="str">
        <x:v>Patch reports, vulnerability scans</x:v>
      </x:c>
      <x:c r="E11" s="43" t="str">
        <x:v>Northstar Platform</x:v>
      </x:c>
      <x:c r="F11" s="43" t="str">
        <x:v>Needs Improvement</x:v>
      </x:c>
      <x:c r="G11" s="43" t="str">
        <x:v>CLD-F003</x:v>
      </x:c>
      <x:c r="H11" s="43" t="str">
        <x:v>EC2 patch evidence gap</x:v>
      </x:c>
      <x:c r="I11" s="43"/>
      <x:c r="J11" s="43"/>
      <x:c r="K11" s="43"/>
      <x:c r="L11" s="43"/>
    </x:row>
    <x:row r="12" ht="26.399999618530273" hidden="0" customHeight="1">
      <x:c r="A12" s="43" t="str">
        <x:v>Backup / recovery</x:v>
      </x:c>
      <x:c r="B12" s="43" t="str">
        <x:v>Service capabilities and durability commitments</x:v>
      </x:c>
      <x:c r="C12" s="43" t="str">
        <x:v>Backup policy, recovery objectives, restore testing</x:v>
      </x:c>
      <x:c r="D12" s="43" t="str">
        <x:v>Backup logs, restore test</x:v>
      </x:c>
      <x:c r="E12" s="43" t="str">
        <x:v>Northstar Infrastructure</x:v>
      </x:c>
      <x:c r="F12" s="43" t="str">
        <x:v>Needs Improvement</x:v>
      </x:c>
      <x:c r="G12" s="43" t="str">
        <x:v>CLD-F002</x:v>
      </x:c>
      <x:c r="H12" s="43" t="str">
        <x:v>Restore evidence incomplete</x:v>
      </x:c>
      <x:c r="I12" s="43"/>
      <x:c r="J12" s="43"/>
      <x:c r="K12" s="43"/>
      <x:c r="L12" s="43"/>
    </x:row>
    <x:row r="13" ht="26.399999618530273" hidden="0" customHeight="1">
      <x:c r="A13" s="43" t="str">
        <x:v>Application security</x:v>
      </x:c>
      <x:c r="B13" s="43" t="str">
        <x:v>Managed-service platform security</x:v>
      </x:c>
      <x:c r="C13" s="43" t="str">
        <x:v>Secure SDLC, secrets, dependencies, application configuration</x:v>
      </x:c>
      <x:c r="D13" s="43" t="str">
        <x:v>SDLC evidence, dependency scans</x:v>
      </x:c>
      <x:c r="E13" s="43" t="str">
        <x:v>Application Team</x:v>
      </x:c>
      <x:c r="F13" s="43" t="str">
        <x:v>Effective</x:v>
      </x:c>
      <x:c r="G13" s="43" t="str"/>
      <x:c r="H13" s="43" t="str"/>
      <x:c r="I13" s="43"/>
      <x:c r="J13" s="43"/>
      <x:c r="K13" s="43"/>
      <x:c r="L13" s="43"/>
    </x:row>
    <x:row r="14" ht="26.399999618530273" hidden="0" customHeight="1">
      <x:c r="A14" s="43" t="str">
        <x:v>Compliance / risk</x:v>
      </x:c>
      <x:c r="B14" s="43" t="str">
        <x:v>Provider provides assurance evidence for applicable services</x:v>
      </x:c>
      <x:c r="C14" s="43" t="str">
        <x:v>Customer maps provider evidence to internal obligations and controls</x:v>
      </x:c>
      <x:c r="D14" s="43" t="str">
        <x:v>Assurance report, control mapping</x:v>
      </x:c>
      <x:c r="E14" s="43" t="str">
        <x:v>GRC</x:v>
      </x:c>
      <x:c r="F14" s="43" t="str">
        <x:v>Effective</x:v>
      </x:c>
      <x:c r="G14" s="43" t="str"/>
      <x:c r="H14" s="43" t="str"/>
      <x:c r="I14" s="43"/>
      <x:c r="J14" s="43"/>
      <x:c r="K14" s="43"/>
      <x:c r="L14" s="43"/>
    </x:row>
    <x:row r="15" ht="15" hidden="0" customHeight="1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68337de4a2a47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42" hidden="0" customWidth="1"/>
    <x:col min="5" max="5" width="20" hidden="0" customWidth="1"/>
    <x:col min="6" max="6" width="28" hidden="0" customWidth="1"/>
    <x:col min="7" max="7" width="36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</x:cols>
  <x:sheetData>
    <x:row r="1" ht="19.200000762939453" hidden="0" customHeight="1">
      <x:c r="A1" s="41" t="str">
        <x:v>Cloud GRC Control Matrix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3"/>
    </x:row>
    <x:row r="2" ht="15" hidden="0" customHeight="1">
      <x:c r="A2" s="42" t="str">
        <x:v>Controls cover governance, IAM, network security, logging, encryption, vulnerability management, backup/recovery, configuration and incident response.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3"/>
    </x:row>
    <x:row r="3" ht="15" hidden="0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15" hidden="0" customHeight="1">
      <x:c r="A4" s="44" t="str">
        <x:v>Control ID</x:v>
      </x:c>
      <x:c r="B4" s="44" t="str">
        <x:v>Domain</x:v>
      </x:c>
      <x:c r="C4" s="44" t="str">
        <x:v>Control Objective</x:v>
      </x:c>
      <x:c r="D4" s="44" t="str">
        <x:v>Control Activity</x:v>
      </x:c>
      <x:c r="E4" s="44" t="str">
        <x:v>Responsibility</x:v>
      </x:c>
      <x:c r="F4" s="44" t="str">
        <x:v>Framework Reference</x:v>
      </x:c>
      <x:c r="G4" s="44" t="str">
        <x:v>Evidence Required</x:v>
      </x:c>
      <x:c r="H4" s="44" t="str">
        <x:v>ToD Result</x:v>
      </x:c>
      <x:c r="I4" s="44" t="str">
        <x:v>ToE / Status</x:v>
      </x:c>
      <x:c r="J4" s="44" t="str">
        <x:v>Finding ID</x:v>
      </x:c>
      <x:c r="K4" s="44" t="str">
        <x:v>Risk Rating</x:v>
      </x:c>
      <x:c r="L4" s="43"/>
    </x:row>
    <x:row r="5" ht="26.399999618530273" hidden="0" customHeight="1">
      <x:c r="A5" s="43" t="str">
        <x:v>CLD-01</x:v>
      </x:c>
      <x:c r="B5" s="43" t="str">
        <x:v>IAM</x:v>
      </x:c>
      <x:c r="C5" s="43" t="str">
        <x:v>Restrict cloud access to authorized users and roles.</x:v>
      </x:c>
      <x:c r="D5" s="43" t="str">
        <x:v>MFA and least-privilege IAM roles are defined and reviewed.</x:v>
      </x:c>
      <x:c r="E5" s="43" t="str">
        <x:v>Customer</x:v>
      </x:c>
      <x:c r="F5" s="43" t="str">
        <x:v>NIST CSF 2.0 / AC-6 themes</x:v>
      </x:c>
      <x:c r="G5" s="43" t="str">
        <x:v>IAM policy; role inventory; MFA config</x:v>
      </x:c>
      <x:c r="H5" s="43" t="str">
        <x:v>Pass</x:v>
      </x:c>
      <x:c r="I5" s="43" t="str">
        <x:v>Effective</x:v>
      </x:c>
      <x:c r="J5" s="43" t="str"/>
      <x:c r="K5" s="43" t="str"/>
      <x:c r="L5" s="43"/>
    </x:row>
    <x:row r="6" ht="26.399999618530273" hidden="0" customHeight="1">
      <x:c r="A6" s="43" t="str">
        <x:v>CLD-02</x:v>
      </x:c>
      <x:c r="B6" s="43" t="str">
        <x:v>IAM</x:v>
      </x:c>
      <x:c r="C6" s="43" t="str">
        <x:v>Govern privileged identities.</x:v>
      </x:c>
      <x:c r="D6" s="43" t="str">
        <x:v>Privileged roles are separately identified and recertified quarterly.</x:v>
      </x:c>
      <x:c r="E6" s="43" t="str">
        <x:v>Customer</x:v>
      </x:c>
      <x:c r="F6" s="43" t="str">
        <x:v>NIST SP 800-53 AC-2/AC-6 themes</x:v>
      </x:c>
      <x:c r="G6" s="43" t="str">
        <x:v>Privileged account list; review sign-off</x:v>
      </x:c>
      <x:c r="H6" s="43" t="str">
        <x:v>Pass</x:v>
      </x:c>
      <x:c r="I6" s="43" t="str">
        <x:v>Needs Improvement</x:v>
      </x:c>
      <x:c r="J6" s="43" t="str">
        <x:v>CLD-F001</x:v>
      </x:c>
      <x:c r="K6" s="43" t="str">
        <x:v>High</x:v>
      </x:c>
      <x:c r="L6" s="43"/>
    </x:row>
    <x:row r="7" ht="26.399999618530273" hidden="0" customHeight="1">
      <x:c r="A7" s="43" t="str">
        <x:v>CLD-03</x:v>
      </x:c>
      <x:c r="B7" s="43" t="str">
        <x:v>Network</x:v>
      </x:c>
      <x:c r="C7" s="43" t="str">
        <x:v>Protect workloads from unauthorized network access.</x:v>
      </x:c>
      <x:c r="D7" s="43" t="str">
        <x:v>Production network segments use private subnets and restricted security groups.</x:v>
      </x:c>
      <x:c r="E7" s="43" t="str">
        <x:v>Customer</x:v>
      </x:c>
      <x:c r="F7" s="43" t="str">
        <x:v>CIS Controls v8.1</x:v>
      </x:c>
      <x:c r="G7" s="43" t="str">
        <x:v>VPC diagram; SG/NACL review</x:v>
      </x:c>
      <x:c r="H7" s="43" t="str">
        <x:v>Pass</x:v>
      </x:c>
      <x:c r="I7" s="43" t="str">
        <x:v>Effective</x:v>
      </x:c>
      <x:c r="J7" s="43" t="str"/>
      <x:c r="K7" s="43" t="str"/>
      <x:c r="L7" s="43"/>
    </x:row>
    <x:row r="8" ht="26.399999618530273" hidden="0" customHeight="1">
      <x:c r="A8" s="43" t="str">
        <x:v>CLD-04</x:v>
      </x:c>
      <x:c r="B8" s="43" t="str">
        <x:v>Logging</x:v>
      </x:c>
      <x:c r="C8" s="43" t="str">
        <x:v>Maintain auditable cloud activity records.</x:v>
      </x:c>
      <x:c r="D8" s="43" t="str">
        <x:v>Organization-wide CloudTrail is enabled and security logs are forwarded to centralized monitoring.</x:v>
      </x:c>
      <x:c r="E8" s="43" t="str">
        <x:v>Customer</x:v>
      </x:c>
      <x:c r="F8" s="43" t="str">
        <x:v>NIST CSF Detect</x:v>
      </x:c>
      <x:c r="G8" s="43" t="str">
        <x:v>CloudTrail settings; SIEM evidence</x:v>
      </x:c>
      <x:c r="H8" s="43" t="str">
        <x:v>Pass</x:v>
      </x:c>
      <x:c r="I8" s="43" t="str">
        <x:v>Effective</x:v>
      </x:c>
      <x:c r="J8" s="43" t="str"/>
      <x:c r="K8" s="43" t="str"/>
      <x:c r="L8" s="43"/>
    </x:row>
    <x:row r="9" ht="26.399999618530273" hidden="0" customHeight="1">
      <x:c r="A9" s="43" t="str">
        <x:v>CLD-05</x:v>
      </x:c>
      <x:c r="B9" s="43" t="str">
        <x:v>Monitoring</x:v>
      </x:c>
      <x:c r="C9" s="43" t="str">
        <x:v>Detect suspicious activity in cloud workloads.</x:v>
      </x:c>
      <x:c r="D9" s="43" t="str">
        <x:v>Threat-detection service is enabled and findings are investigated.</x:v>
      </x:c>
      <x:c r="E9" s="43" t="str">
        <x:v>Customer</x:v>
      </x:c>
      <x:c r="F9" s="43" t="str">
        <x:v>NIST CSF Detect</x:v>
      </x:c>
      <x:c r="G9" s="43" t="str">
        <x:v>GuardDuty config; investigation records</x:v>
      </x:c>
      <x:c r="H9" s="43" t="str">
        <x:v>Pass</x:v>
      </x:c>
      <x:c r="I9" s="43" t="str">
        <x:v>Effective</x:v>
      </x:c>
      <x:c r="J9" s="43" t="str"/>
      <x:c r="K9" s="43" t="str"/>
      <x:c r="L9" s="43"/>
    </x:row>
    <x:row r="10" ht="26.399999618530273" hidden="0" customHeight="1">
      <x:c r="A10" s="43" t="str">
        <x:v>CLD-06</x:v>
      </x:c>
      <x:c r="B10" s="43" t="str">
        <x:v>Encryption</x:v>
      </x:c>
      <x:c r="C10" s="43" t="str">
        <x:v>Protect sensitive data in storage and transit.</x:v>
      </x:c>
      <x:c r="D10" s="43" t="str">
        <x:v>Critical data stores use encryption at rest and TLS in transit.</x:v>
      </x:c>
      <x:c r="E10" s="43" t="str">
        <x:v>Customer</x:v>
      </x:c>
      <x:c r="F10" s="43" t="str">
        <x:v>NIST CSF Protect</x:v>
      </x:c>
      <x:c r="G10" s="43" t="str">
        <x:v>KMS config; encryption settings</x:v>
      </x:c>
      <x:c r="H10" s="43" t="str">
        <x:v>Pass</x:v>
      </x:c>
      <x:c r="I10" s="43" t="str">
        <x:v>Effective</x:v>
      </x:c>
      <x:c r="J10" s="43" t="str"/>
      <x:c r="K10" s="43" t="str"/>
      <x:c r="L10" s="43"/>
    </x:row>
    <x:row r="11" ht="26.399999618530273" hidden="0" customHeight="1">
      <x:c r="A11" s="43" t="str">
        <x:v>CLD-07</x:v>
      </x:c>
      <x:c r="B11" s="43" t="str">
        <x:v>Key Management</x:v>
      </x:c>
      <x:c r="C11" s="43" t="str">
        <x:v>Restrict and monitor use of cryptographic keys.</x:v>
      </x:c>
      <x:c r="D11" s="43" t="str">
        <x:v>Customer-managed keys have access policy and rotation controls.</x:v>
      </x:c>
      <x:c r="E11" s="43" t="str">
        <x:v>Customer</x:v>
      </x:c>
      <x:c r="F11" s="43" t="str">
        <x:v>NIST SP 800-53 SC-12/SC-13 themes</x:v>
      </x:c>
      <x:c r="G11" s="43" t="str">
        <x:v>KMS key policy; rotation setting</x:v>
      </x:c>
      <x:c r="H11" s="43" t="str">
        <x:v>Pass</x:v>
      </x:c>
      <x:c r="I11" s="43" t="str">
        <x:v>Effective</x:v>
      </x:c>
      <x:c r="J11" s="43" t="str"/>
      <x:c r="K11" s="43" t="str"/>
      <x:c r="L11" s="43"/>
    </x:row>
    <x:row r="12" ht="26.399999618530273" hidden="0" customHeight="1">
      <x:c r="A12" s="43" t="str">
        <x:v>CLD-08</x:v>
      </x:c>
      <x:c r="B12" s="43" t="str">
        <x:v>Vulnerability</x:v>
      </x:c>
      <x:c r="C12" s="43" t="str">
        <x:v>Maintain supported, patched workloads.</x:v>
      </x:c>
      <x:c r="D12" s="43" t="str">
        <x:v>EC2 and container workloads are scanned and remediated against defined SLAs.</x:v>
      </x:c>
      <x:c r="E12" s="43" t="str">
        <x:v>Customer</x:v>
      </x:c>
      <x:c r="F12" s="43" t="str">
        <x:v>CIS Controls v8.1</x:v>
      </x:c>
      <x:c r="G12" s="43" t="str">
        <x:v>Vulnerability report; patch record</x:v>
      </x:c>
      <x:c r="H12" s="43" t="str">
        <x:v>Pass</x:v>
      </x:c>
      <x:c r="I12" s="43" t="str">
        <x:v>Needs Improvement</x:v>
      </x:c>
      <x:c r="J12" s="43" t="str">
        <x:v>CLD-F003</x:v>
      </x:c>
      <x:c r="K12" s="43" t="str">
        <x:v>Medium</x:v>
      </x:c>
      <x:c r="L12" s="43"/>
    </x:row>
    <x:row r="13" ht="26.399999618530273" hidden="0" customHeight="1">
      <x:c r="A13" s="43" t="str">
        <x:v>CLD-09</x:v>
      </x:c>
      <x:c r="B13" s="43" t="str">
        <x:v>Backup</x:v>
      </x:c>
      <x:c r="C13" s="43" t="str">
        <x:v>Protect recoverability of critical cloud workloads.</x:v>
      </x:c>
      <x:c r="D13" s="43" t="str">
        <x:v>Critical data and systems are backed up under centrally managed policy.</x:v>
      </x:c>
      <x:c r="E13" s="43" t="str">
        <x:v>Customer</x:v>
      </x:c>
      <x:c r="F13" s="43" t="str">
        <x:v>NIST CSF Recover</x:v>
      </x:c>
      <x:c r="G13" s="43" t="str">
        <x:v>Backup job logs; policy</x:v>
      </x:c>
      <x:c r="H13" s="43" t="str">
        <x:v>Pass</x:v>
      </x:c>
      <x:c r="I13" s="43" t="str">
        <x:v>Effective</x:v>
      </x:c>
      <x:c r="J13" s="43" t="str"/>
      <x:c r="K13" s="43" t="str"/>
      <x:c r="L13" s="43"/>
    </x:row>
    <x:row r="14" ht="26.399999618530273" hidden="0" customHeight="1">
      <x:c r="A14" s="43" t="str">
        <x:v>CLD-10</x:v>
      </x:c>
      <x:c r="B14" s="43" t="str">
        <x:v>Recovery</x:v>
      </x:c>
      <x:c r="C14" s="43" t="str">
        <x:v>Demonstrate that backups can be restored.</x:v>
      </x:c>
      <x:c r="D14" s="43" t="str">
        <x:v>Critical services undergo periodic documented restore testing.</x:v>
      </x:c>
      <x:c r="E14" s="43" t="str">
        <x:v>Customer</x:v>
      </x:c>
      <x:c r="F14" s="43" t="str">
        <x:v>NIST CSF Recover</x:v>
      </x:c>
      <x:c r="G14" s="43" t="str">
        <x:v>Restore test report</x:v>
      </x:c>
      <x:c r="H14" s="43" t="str">
        <x:v>Pass</x:v>
      </x:c>
      <x:c r="I14" s="43" t="str">
        <x:v>Needs Improvement</x:v>
      </x:c>
      <x:c r="J14" s="43" t="str">
        <x:v>CLD-F002</x:v>
      </x:c>
      <x:c r="K14" s="43" t="str">
        <x:v>High</x:v>
      </x:c>
      <x:c r="L14" s="43"/>
    </x:row>
    <x:row r="15" ht="26.399999618530273" hidden="0" customHeight="1">
      <x:c r="A15" s="43" t="str">
        <x:v>CLD-11</x:v>
      </x:c>
      <x:c r="B15" s="43" t="str">
        <x:v>Configuration</x:v>
      </x:c>
      <x:c r="C15" s="43" t="str">
        <x:v>Prevent insecure cloud configurations.</x:v>
      </x:c>
      <x:c r="D15" s="43" t="str">
        <x:v>Baseline checks identify public exposure, weak security groups and disabled safeguards.</x:v>
      </x:c>
      <x:c r="E15" s="43" t="str">
        <x:v>Customer</x:v>
      </x:c>
      <x:c r="F15" s="43" t="str">
        <x:v>CIS Controls v8.1</x:v>
      </x:c>
      <x:c r="G15" s="43" t="str">
        <x:v>CSPM report; configuration baseline</x:v>
      </x:c>
      <x:c r="H15" s="43" t="str">
        <x:v>Pass</x:v>
      </x:c>
      <x:c r="I15" s="43" t="str">
        <x:v>Needs Improvement</x:v>
      </x:c>
      <x:c r="J15" s="43" t="str">
        <x:v>CLD-F004</x:v>
      </x:c>
      <x:c r="K15" s="43" t="str">
        <x:v>High</x:v>
      </x:c>
      <x:c r="L15" s="43"/>
    </x:row>
    <x:row r="16" ht="26.399999618530273" hidden="0" customHeight="1">
      <x:c r="A16" s="43" t="str">
        <x:v>CLD-12</x:v>
      </x:c>
      <x:c r="B16" s="43" t="str">
        <x:v>Incident Response</x:v>
      </x:c>
      <x:c r="C16" s="43" t="str">
        <x:v>Respond to cloud security events.</x:v>
      </x:c>
      <x:c r="D16" s="43" t="str">
        <x:v>Cloud incident triage playbook defines ownership, evidence preservation and escalation.</x:v>
      </x:c>
      <x:c r="E16" s="43" t="str">
        <x:v>Customer</x:v>
      </x:c>
      <x:c r="F16" s="43" t="str">
        <x:v>NIST CSF Respond</x:v>
      </x:c>
      <x:c r="G16" s="43" t="str">
        <x:v>IR playbook; tabletop evidence</x:v>
      </x:c>
      <x:c r="H16" s="43" t="str">
        <x:v>Pass</x:v>
      </x:c>
      <x:c r="I16" s="43" t="str">
        <x:v>Effective</x:v>
      </x:c>
      <x:c r="J16" s="43" t="str"/>
      <x:c r="K16" s="43" t="str"/>
      <x:c r="L16" s="43"/>
    </x:row>
    <x:row r="17" ht="26.399999618530273" hidden="0" customHeight="1">
      <x:c r="A17" s="43" t="str">
        <x:v>CLD-13</x:v>
      </x:c>
      <x:c r="B17" s="43" t="str">
        <x:v>Third Party</x:v>
      </x:c>
      <x:c r="C17" s="43" t="str">
        <x:v>Review provider assurance and inherited controls.</x:v>
      </x:c>
      <x:c r="D17" s="43" t="str">
        <x:v>Provider assurance reports are mapped to customer control responsibilities.</x:v>
      </x:c>
      <x:c r="E17" s="43" t="str">
        <x:v>Shared</x:v>
      </x:c>
      <x:c r="F17" s="43" t="str">
        <x:v>Shared responsibility model</x:v>
      </x:c>
      <x:c r="G17" s="43" t="str">
        <x:v>SOC/ISO assurance; control mapping</x:v>
      </x:c>
      <x:c r="H17" s="43" t="str">
        <x:v>Pass</x:v>
      </x:c>
      <x:c r="I17" s="43" t="str">
        <x:v>Effective</x:v>
      </x:c>
      <x:c r="J17" s="43" t="str"/>
      <x:c r="K17" s="43" t="str"/>
      <x:c r="L17" s="43"/>
    </x:row>
    <x:row r="18" ht="26.399999618530273" hidden="0" customHeight="1">
      <x:c r="A18" s="43" t="str">
        <x:v>CLD-14</x:v>
      </x:c>
      <x:c r="B18" s="43" t="str">
        <x:v>Data Governance</x:v>
      </x:c>
      <x:c r="C18" s="43" t="str">
        <x:v>Maintain an inventory of cloud data and owners.</x:v>
      </x:c>
      <x:c r="D18" s="43" t="str">
        <x:v>Data stores have classification, owner and retention fields.</x:v>
      </x:c>
      <x:c r="E18" s="43" t="str">
        <x:v>Customer</x:v>
      </x:c>
      <x:c r="F18" s="43" t="str">
        <x:v>NIST CSF Govern/Identify</x:v>
      </x:c>
      <x:c r="G18" s="43" t="str">
        <x:v>Cloud inventory; data classification</x:v>
      </x:c>
      <x:c r="H18" s="43" t="str">
        <x:v>Pass</x:v>
      </x:c>
      <x:c r="I18" s="43" t="str">
        <x:v>Effective</x:v>
      </x:c>
      <x:c r="J18" s="43" t="str"/>
      <x:c r="K18" s="43" t="str"/>
      <x:c r="L18" s="43"/>
    </x:row>
    <x:row r="19" ht="26.399999618530273" hidden="0" customHeight="1">
      <x:c r="A19" s="43" t="str">
        <x:v>CLD-15</x:v>
      </x:c>
      <x:c r="B19" s="43" t="str">
        <x:v>Change Mgmt</x:v>
      </x:c>
      <x:c r="C19" s="43" t="str">
        <x:v>Control material cloud configuration changes.</x:v>
      </x:c>
      <x:c r="D19" s="43" t="str">
        <x:v>Production cloud changes require approval, testing and rollback evidence.</x:v>
      </x:c>
      <x:c r="E19" s="43" t="str">
        <x:v>Customer</x:v>
      </x:c>
      <x:c r="F19" s="43" t="str">
        <x:v>NIST CSF Govern/Protect</x:v>
      </x:c>
      <x:c r="G19" s="43" t="str">
        <x:v>Change tickets; deployment logs</x:v>
      </x:c>
      <x:c r="H19" s="43" t="str">
        <x:v>Pass</x:v>
      </x:c>
      <x:c r="I19" s="43" t="str">
        <x:v>Effective</x:v>
      </x:c>
      <x:c r="J19" s="43" t="str"/>
      <x:c r="K19" s="43" t="str"/>
      <x:c r="L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</x:sheetData>
  <x:mergeCells>
    <x:mergeCell ref="A1:K1"/>
    <x:mergeCell ref="A2:K2"/>
  </x:mergeCells>
  <x:conditionalFormatting sqref="I5:I19">
    <x:cfRule type="expression" dxfId="0" priority="1">
      <x:formula>I5="Effective"</x:formula>
    </x:cfRule>
    <x:cfRule type="expression" dxfId="1" priority="2">
      <x:formula>I5="Needs Improvement"</x:formula>
    </x:cfRule>
  </x:conditionalFormatting>
  <x:dataValidations count="1">
    <x:dataValidation type="list" sqref="I5:I19">
      <x:formula1>"Effective,Needs Improvement,Ineffective,Not Assessed"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03e5096a9a47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28" hidden="0" customWidth="1"/>
    <x:col min="5" max="5" width="14" hidden="0" customWidth="1"/>
    <x:col min="6" max="6" width="18" hidden="0" customWidth="1"/>
    <x:col min="7" max="7" width="22" hidden="0" customWidth="1"/>
    <x:col min="8" max="8" width="20" hidden="0" customWidth="1"/>
    <x:col min="9" max="9" width="20" hidden="0" customWidth="1"/>
    <x:col min="10" max="10" width="32" hidden="0" customWidth="1"/>
  </x:cols>
  <x:sheetData>
    <x:row r="1" ht="19.200000762939453" hidden="0" customHeight="1">
      <x:c r="A1" s="41" t="str">
        <x:v>Cloud GRC Evidence Index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3"/>
      <x:c r="L1" s="43"/>
    </x:row>
    <x:row r="2" ht="15" hidden="0" customHeight="1">
      <x:c r="A2" s="42" t="str">
        <x:v>Evidence is simulated and demonstrates traceability from control to source artifact.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3"/>
      <x:c r="L2" s="43"/>
    </x:row>
    <x:row r="3" ht="15" hidden="0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15" hidden="0" customHeight="1">
      <x:c r="A4" s="44" t="str">
        <x:v>Evidence ID</x:v>
      </x:c>
      <x:c r="B4" s="44" t="str">
        <x:v>Control ID</x:v>
      </x:c>
      <x:c r="C4" s="44" t="str">
        <x:v>Artifact</x:v>
      </x:c>
      <x:c r="D4" s="44" t="str">
        <x:v>Source / Location</x:v>
      </x:c>
      <x:c r="E4" s="44" t="str">
        <x:v>Period</x:v>
      </x:c>
      <x:c r="F4" s="44" t="str">
        <x:v>Owner</x:v>
      </x:c>
      <x:c r="G4" s="44" t="str">
        <x:v>Evidence Type</x:v>
      </x:c>
      <x:c r="H4" s="44" t="str">
        <x:v>Status</x:v>
      </x:c>
      <x:c r="I4" s="44" t="str">
        <x:v>Review Result</x:v>
      </x:c>
      <x:c r="J4" s="44" t="str">
        <x:v>Notes</x:v>
      </x:c>
      <x:c r="K4" s="43"/>
      <x:c r="L4" s="43"/>
    </x:row>
    <x:row r="5" ht="15" hidden="0" customHeight="1">
      <x:c r="A5" s="43" t="str">
        <x:v>EV-CLD-001</x:v>
      </x:c>
      <x:c r="B5" s="43" t="str">
        <x:v>CLD-01</x:v>
      </x:c>
      <x:c r="C5" s="43" t="str">
        <x:v>IAM Role Inventory</x:v>
      </x:c>
      <x:c r="D5" s="43" t="str">
        <x:v>Simulated AWS IAM export</x:v>
      </x:c>
      <x:c r="E5" s="43" t="str">
        <x:v>Q3 2026</x:v>
      </x:c>
      <x:c r="F5" s="43" t="str">
        <x:v>IAM Team</x:v>
      </x:c>
      <x:c r="G5" s="43" t="str">
        <x:v>Configuration</x:v>
      </x:c>
      <x:c r="H5" s="43" t="str">
        <x:v>Received</x:v>
      </x:c>
      <x:c r="I5" s="43" t="str">
        <x:v>Supports control</x:v>
      </x:c>
      <x:c r="J5" s="43" t="str">
        <x:v>Role population documented</x:v>
      </x:c>
      <x:c r="K5" s="43"/>
      <x:c r="L5" s="43"/>
    </x:row>
    <x:row r="6" ht="26.399999618530273" hidden="0" customHeight="1">
      <x:c r="A6" s="43" t="str">
        <x:v>EV-CLD-002</x:v>
      </x:c>
      <x:c r="B6" s="43" t="str">
        <x:v>CLD-02</x:v>
      </x:c>
      <x:c r="C6" s="43" t="str">
        <x:v>Privileged Access Review</x:v>
      </x:c>
      <x:c r="D6" s="43" t="str">
        <x:v>Simulated IAM review pack</x:v>
      </x:c>
      <x:c r="E6" s="43" t="str">
        <x:v>Q3 2026</x:v>
      </x:c>
      <x:c r="F6" s="43" t="str">
        <x:v>IAM Team</x:v>
      </x:c>
      <x:c r="G6" s="43" t="str">
        <x:v>Review</x:v>
      </x:c>
      <x:c r="H6" s="43" t="str">
        <x:v>Received with gap</x:v>
      </x:c>
      <x:c r="I6" s="43" t="str">
        <x:v>Partial</x:v>
      </x:c>
      <x:c r="J6" s="43" t="str">
        <x:v>Two admin paths lacked complete evidence</x:v>
      </x:c>
      <x:c r="K6" s="43"/>
      <x:c r="L6" s="43"/>
    </x:row>
    <x:row r="7" ht="15" hidden="0" customHeight="1">
      <x:c r="A7" s="43" t="str">
        <x:v>EV-CLD-003</x:v>
      </x:c>
      <x:c r="B7" s="43" t="str">
        <x:v>CLD-03</x:v>
      </x:c>
      <x:c r="C7" s="43" t="str">
        <x:v>VPC / Security Group Review</x:v>
      </x:c>
      <x:c r="D7" s="43" t="str">
        <x:v>Simulated architecture pack</x:v>
      </x:c>
      <x:c r="E7" s="43" t="str">
        <x:v>Q3 2026</x:v>
      </x:c>
      <x:c r="F7" s="43" t="str">
        <x:v>Network Team</x:v>
      </x:c>
      <x:c r="G7" s="43" t="str">
        <x:v>Architecture</x:v>
      </x:c>
      <x:c r="H7" s="43" t="str">
        <x:v>Received</x:v>
      </x:c>
      <x:c r="I7" s="43" t="str">
        <x:v>Supports control</x:v>
      </x:c>
      <x:c r="J7" s="43" t="str">
        <x:v>Private data tier verified</x:v>
      </x:c>
      <x:c r="K7" s="43"/>
      <x:c r="L7" s="43"/>
    </x:row>
    <x:row r="8" ht="15" hidden="0" customHeight="1">
      <x:c r="A8" s="43" t="str">
        <x:v>EV-CLD-004</x:v>
      </x:c>
      <x:c r="B8" s="43" t="str">
        <x:v>CLD-04</x:v>
      </x:c>
      <x:c r="C8" s="43" t="str">
        <x:v>CloudTrail Configuration</x:v>
      </x:c>
      <x:c r="D8" s="43" t="str">
        <x:v>Simulated CloudTrail settings</x:v>
      </x:c>
      <x:c r="E8" s="43" t="str">
        <x:v>Q3 2026</x:v>
      </x:c>
      <x:c r="F8" s="43" t="str">
        <x:v>Security Team</x:v>
      </x:c>
      <x:c r="G8" s="43" t="str">
        <x:v>Configuration</x:v>
      </x:c>
      <x:c r="H8" s="43" t="str">
        <x:v>Received</x:v>
      </x:c>
      <x:c r="I8" s="43" t="str">
        <x:v>Supports control</x:v>
      </x:c>
      <x:c r="J8" s="43" t="str">
        <x:v>Org trail enabled</x:v>
      </x:c>
      <x:c r="K8" s="43"/>
      <x:c r="L8" s="43"/>
    </x:row>
    <x:row r="9" ht="15" hidden="0" customHeight="1">
      <x:c r="A9" s="43" t="str">
        <x:v>EV-CLD-005</x:v>
      </x:c>
      <x:c r="B9" s="43" t="str">
        <x:v>CLD-05</x:v>
      </x:c>
      <x:c r="C9" s="43" t="str">
        <x:v>Threat Detection Dashboard</x:v>
      </x:c>
      <x:c r="D9" s="43" t="str">
        <x:v>Simulated GuardDuty report</x:v>
      </x:c>
      <x:c r="E9" s="43" t="str">
        <x:v>Q3 2026</x:v>
      </x:c>
      <x:c r="F9" s="43" t="str">
        <x:v>Security Team</x:v>
      </x:c>
      <x:c r="G9" s="43" t="str">
        <x:v>Monitoring</x:v>
      </x:c>
      <x:c r="H9" s="43" t="str">
        <x:v>Received</x:v>
      </x:c>
      <x:c r="I9" s="43" t="str">
        <x:v>Supports control</x:v>
      </x:c>
      <x:c r="J9" s="43" t="str">
        <x:v>Findings routed to SOC</x:v>
      </x:c>
      <x:c r="K9" s="43"/>
      <x:c r="L9" s="43"/>
    </x:row>
    <x:row r="10" ht="15" hidden="0" customHeight="1">
      <x:c r="A10" s="43" t="str">
        <x:v>EV-CLD-006</x:v>
      </x:c>
      <x:c r="B10" s="43" t="str">
        <x:v>CLD-06</x:v>
      </x:c>
      <x:c r="C10" s="43" t="str">
        <x:v>RDS Encryption Configuration</x:v>
      </x:c>
      <x:c r="D10" s="43" t="str">
        <x:v>Simulated RDS settings</x:v>
      </x:c>
      <x:c r="E10" s="43" t="str">
        <x:v>Q3 2026</x:v>
      </x:c>
      <x:c r="F10" s="43" t="str">
        <x:v>DBA Team</x:v>
      </x:c>
      <x:c r="G10" s="43" t="str">
        <x:v>Configuration</x:v>
      </x:c>
      <x:c r="H10" s="43" t="str">
        <x:v>Received</x:v>
      </x:c>
      <x:c r="I10" s="43" t="str">
        <x:v>Supports control</x:v>
      </x:c>
      <x:c r="J10" s="43" t="str">
        <x:v>Encryption at rest enabled</x:v>
      </x:c>
      <x:c r="K10" s="43"/>
      <x:c r="L10" s="43"/>
    </x:row>
    <x:row r="11" ht="15" hidden="0" customHeight="1">
      <x:c r="A11" s="43" t="str">
        <x:v>EV-CLD-007</x:v>
      </x:c>
      <x:c r="B11" s="43" t="str">
        <x:v>CLD-07</x:v>
      </x:c>
      <x:c r="C11" s="43" t="str">
        <x:v>KMS Key Policy</x:v>
      </x:c>
      <x:c r="D11" s="43" t="str">
        <x:v>Simulated KMS policy export</x:v>
      </x:c>
      <x:c r="E11" s="43" t="str">
        <x:v>Q3 2026</x:v>
      </x:c>
      <x:c r="F11" s="43" t="str">
        <x:v>Security Team</x:v>
      </x:c>
      <x:c r="G11" s="43" t="str">
        <x:v>Configuration</x:v>
      </x:c>
      <x:c r="H11" s="43" t="str">
        <x:v>Received</x:v>
      </x:c>
      <x:c r="I11" s="43" t="str">
        <x:v>Supports control</x:v>
      </x:c>
      <x:c r="J11" s="43" t="str">
        <x:v>Rotation enabled</x:v>
      </x:c>
      <x:c r="K11" s="43"/>
      <x:c r="L11" s="43"/>
    </x:row>
    <x:row r="12" ht="15" hidden="0" customHeight="1">
      <x:c r="A12" s="43" t="str">
        <x:v>EV-CLD-008</x:v>
      </x:c>
      <x:c r="B12" s="43" t="str">
        <x:v>CLD-08</x:v>
      </x:c>
      <x:c r="C12" s="43" t="str">
        <x:v>Vulnerability Scan</x:v>
      </x:c>
      <x:c r="D12" s="43" t="str">
        <x:v>Simulated EC2/EKS scan report</x:v>
      </x:c>
      <x:c r="E12" s="43" t="str">
        <x:v>Q3 2026</x:v>
      </x:c>
      <x:c r="F12" s="43" t="str">
        <x:v>Platform Team</x:v>
      </x:c>
      <x:c r="G12" s="43" t="str">
        <x:v>Security Testing</x:v>
      </x:c>
      <x:c r="H12" s="43" t="str">
        <x:v>Received with gap</x:v>
      </x:c>
      <x:c r="I12" s="43" t="str">
        <x:v>Partial</x:v>
      </x:c>
      <x:c r="J12" s="43" t="str">
        <x:v>One EC2 patch item exceeded SLA</x:v>
      </x:c>
      <x:c r="K12" s="43"/>
      <x:c r="L12" s="43"/>
    </x:row>
    <x:row r="13" ht="15" hidden="0" customHeight="1">
      <x:c r="A13" s="43" t="str">
        <x:v>EV-CLD-009</x:v>
      </x:c>
      <x:c r="B13" s="43" t="str">
        <x:v>CLD-09</x:v>
      </x:c>
      <x:c r="C13" s="43" t="str">
        <x:v>AWS Backup Job Report</x:v>
      </x:c>
      <x:c r="D13" s="43" t="str">
        <x:v>Simulated backup report</x:v>
      </x:c>
      <x:c r="E13" s="43" t="str">
        <x:v>Q3 2026</x:v>
      </x:c>
      <x:c r="F13" s="43" t="str">
        <x:v>Infrastructure</x:v>
      </x:c>
      <x:c r="G13" s="43" t="str">
        <x:v>Operations</x:v>
      </x:c>
      <x:c r="H13" s="43" t="str">
        <x:v>Received</x:v>
      </x:c>
      <x:c r="I13" s="43" t="str">
        <x:v>Supports control</x:v>
      </x:c>
      <x:c r="J13" s="43" t="str">
        <x:v>Critical workloads covered</x:v>
      </x:c>
      <x:c r="K13" s="43"/>
      <x:c r="L13" s="43"/>
    </x:row>
    <x:row r="14" ht="15" hidden="0" customHeight="1">
      <x:c r="A14" s="43" t="str">
        <x:v>EV-CLD-010</x:v>
      </x:c>
      <x:c r="B14" s="43" t="str">
        <x:v>CLD-10</x:v>
      </x:c>
      <x:c r="C14" s="43" t="str">
        <x:v>Restore Test Report</x:v>
      </x:c>
      <x:c r="D14" s="43" t="str">
        <x:v>Simulated DR test pack</x:v>
      </x:c>
      <x:c r="E14" s="43" t="str">
        <x:v>Q3 2026</x:v>
      </x:c>
      <x:c r="F14" s="43" t="str">
        <x:v>Infrastructure</x:v>
      </x:c>
      <x:c r="G14" s="43" t="str">
        <x:v>Recovery Testing</x:v>
      </x:c>
      <x:c r="H14" s="43" t="str">
        <x:v>Received with gap</x:v>
      </x:c>
      <x:c r="I14" s="43" t="str">
        <x:v>Partial</x:v>
      </x:c>
      <x:c r="J14" s="43" t="str">
        <x:v>One critical workload lacked test proof</x:v>
      </x:c>
      <x:c r="K14" s="43"/>
      <x:c r="L14" s="43"/>
    </x:row>
    <x:row r="15" ht="15" hidden="0" customHeight="1">
      <x:c r="A15" s="43" t="str">
        <x:v>EV-CLD-011</x:v>
      </x:c>
      <x:c r="B15" s="43" t="str">
        <x:v>CLD-11</x:v>
      </x:c>
      <x:c r="C15" s="43" t="str">
        <x:v>CSPM Configuration Report</x:v>
      </x:c>
      <x:c r="D15" s="43" t="str">
        <x:v>Simulated CSPM scan</x:v>
      </x:c>
      <x:c r="E15" s="43" t="str">
        <x:v>Q3 2026</x:v>
      </x:c>
      <x:c r="F15" s="43" t="str">
        <x:v>Security Team</x:v>
      </x:c>
      <x:c r="G15" s="43" t="str">
        <x:v>Configuration</x:v>
      </x:c>
      <x:c r="H15" s="43" t="str">
        <x:v>Received with gap</x:v>
      </x:c>
      <x:c r="I15" s="43" t="str">
        <x:v>Partial</x:v>
      </x:c>
      <x:c r="J15" s="43" t="str">
        <x:v>Public storage exception identified</x:v>
      </x:c>
      <x:c r="K15" s="43"/>
      <x:c r="L15" s="43"/>
    </x:row>
    <x:row r="16" ht="26.399999618530273" hidden="0" customHeight="1">
      <x:c r="A16" s="43" t="str">
        <x:v>EV-CLD-012</x:v>
      </x:c>
      <x:c r="B16" s="43" t="str">
        <x:v>CLD-12</x:v>
      </x:c>
      <x:c r="C16" s="43" t="str">
        <x:v>Cloud Incident Playbook</x:v>
      </x:c>
      <x:c r="D16" s="43" t="str">
        <x:v>Simulated IR repository</x:v>
      </x:c>
      <x:c r="E16" s="43" t="str">
        <x:v>Q3 2026</x:v>
      </x:c>
      <x:c r="F16" s="43" t="str">
        <x:v>Security Team</x:v>
      </x:c>
      <x:c r="G16" s="43" t="str">
        <x:v>Procedure</x:v>
      </x:c>
      <x:c r="H16" s="43" t="str">
        <x:v>Received</x:v>
      </x:c>
      <x:c r="I16" s="43" t="str">
        <x:v>Supports control</x:v>
      </x:c>
      <x:c r="J16" s="43" t="str">
        <x:v>Cloud evidence preservation steps included</x:v>
      </x:c>
      <x:c r="K16" s="43"/>
      <x:c r="L16" s="43"/>
    </x:row>
    <x:row r="17" ht="15" hidden="0" customHeight="1">
      <x:c r="A17" s="43" t="str">
        <x:v>EV-CLD-013</x:v>
      </x:c>
      <x:c r="B17" s="43" t="str">
        <x:v>CLD-13</x:v>
      </x:c>
      <x:c r="C17" s="43" t="str">
        <x:v>AWS Assurance Report</x:v>
      </x:c>
      <x:c r="D17" s="43" t="str">
        <x:v>Simulated AWS assurance evidence</x:v>
      </x:c>
      <x:c r="E17" s="43" t="str">
        <x:v>Q3 2026</x:v>
      </x:c>
      <x:c r="F17" s="43" t="str">
        <x:v>GRC</x:v>
      </x:c>
      <x:c r="G17" s="43" t="str">
        <x:v>Third-party Assurance</x:v>
      </x:c>
      <x:c r="H17" s="43" t="str">
        <x:v>Received</x:v>
      </x:c>
      <x:c r="I17" s="43" t="str">
        <x:v>Supports control</x:v>
      </x:c>
      <x:c r="J17" s="43" t="str">
        <x:v>Inherited controls mapped</x:v>
      </x:c>
      <x:c r="K17" s="43"/>
      <x:c r="L17" s="43"/>
    </x:row>
    <x:row r="18" ht="15" hidden="0" customHeight="1">
      <x:c r="A18" s="43" t="str">
        <x:v>EV-CLD-014</x:v>
      </x:c>
      <x:c r="B18" s="43" t="str">
        <x:v>CLD-14</x:v>
      </x:c>
      <x:c r="C18" s="43" t="str">
        <x:v>Cloud Data Inventory</x:v>
      </x:c>
      <x:c r="D18" s="43" t="str">
        <x:v>Simulated data register</x:v>
      </x:c>
      <x:c r="E18" s="43" t="str">
        <x:v>Q3 2026</x:v>
      </x:c>
      <x:c r="F18" s="43" t="str">
        <x:v>Data Governance</x:v>
      </x:c>
      <x:c r="G18" s="43" t="str">
        <x:v>Inventory</x:v>
      </x:c>
      <x:c r="H18" s="43" t="str">
        <x:v>Received</x:v>
      </x:c>
      <x:c r="I18" s="43" t="str">
        <x:v>Supports control</x:v>
      </x:c>
      <x:c r="J18" s="43" t="str">
        <x:v>Classification and owner fields present</x:v>
      </x:c>
      <x:c r="K18" s="43"/>
      <x:c r="L18" s="43"/>
    </x:row>
    <x:row r="19" ht="15" hidden="0" customHeight="1">
      <x:c r="A19" s="43" t="str">
        <x:v>EV-CLD-015</x:v>
      </x:c>
      <x:c r="B19" s="43" t="str">
        <x:v>CLD-15</x:v>
      </x:c>
      <x:c r="C19" s="43" t="str">
        <x:v>Cloud Change Records</x:v>
      </x:c>
      <x:c r="D19" s="43" t="str">
        <x:v>Simulated ITSM change tickets</x:v>
      </x:c>
      <x:c r="E19" s="43" t="str">
        <x:v>Q3 2026</x:v>
      </x:c>
      <x:c r="F19" s="43" t="str">
        <x:v>Change Manager</x:v>
      </x:c>
      <x:c r="G19" s="43" t="str">
        <x:v>Change Mgmt</x:v>
      </x:c>
      <x:c r="H19" s="43" t="str">
        <x:v>Received</x:v>
      </x:c>
      <x:c r="I19" s="43" t="str">
        <x:v>Supports control</x:v>
      </x:c>
      <x:c r="J19" s="43" t="str">
        <x:v>Approvals precede production changes</x:v>
      </x:c>
      <x:c r="K19" s="43"/>
      <x:c r="L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e0bcd32b71041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28" hidden="0" customWidth="1"/>
    <x:col min="5" max="5" width="42" hidden="0" customWidth="1"/>
    <x:col min="6" max="6" width="40" hidden="0" customWidth="1"/>
    <x:col min="7" max="7" width="12" hidden="0" customWidth="1"/>
    <x:col min="8" max="8" width="14" hidden="0" customWidth="1"/>
    <x:col min="9" max="9" width="42" hidden="0" customWidth="1"/>
    <x:col min="10" max="10" width="22" hidden="0" customWidth="1"/>
    <x:col min="11" max="11" width="14" hidden="0" customWidth="1"/>
    <x:col min="12" max="12" width="28" hidden="0" customWidth="1"/>
  </x:cols>
  <x:sheetData>
    <x:row r="1" ht="19.200000762939453" hidden="0" customHeight="1">
      <x:c r="A1" s="41" t="str">
        <x:v>Cloud GRC Findings Log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15" hidden="0" customHeight="1">
      <x:c r="A2" s="42" t="str">
        <x:v>Findings are simulated and written in audit-ready format: condition → risk → recommendation → ownership → status.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 ht="15" hidden="0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15" hidden="0" customHeight="1">
      <x:c r="A4" s="44" t="str">
        <x:v>Finding ID</x:v>
      </x:c>
      <x:c r="B4" s="44" t="str">
        <x:v>Control ID</x:v>
      </x:c>
      <x:c r="C4" s="44" t="str">
        <x:v>Domain</x:v>
      </x:c>
      <x:c r="D4" s="44" t="str">
        <x:v>Finding Title</x:v>
      </x:c>
      <x:c r="E4" s="44" t="str">
        <x:v>Condition</x:v>
      </x:c>
      <x:c r="F4" s="44" t="str">
        <x:v>Risk / Impact</x:v>
      </x:c>
      <x:c r="G4" s="44" t="str">
        <x:v>Severity</x:v>
      </x:c>
      <x:c r="H4" s="44" t="str">
        <x:v>Status</x:v>
      </x:c>
      <x:c r="I4" s="44" t="str">
        <x:v>Recommendation</x:v>
      </x:c>
      <x:c r="J4" s="44" t="str">
        <x:v>Owner</x:v>
      </x:c>
      <x:c r="K4" s="44" t="str">
        <x:v>Target Date</x:v>
      </x:c>
      <x:c r="L4" s="44" t="str">
        <x:v>Validation Evidence</x:v>
      </x:c>
    </x:row>
    <x:row r="5" ht="26.399999618530273" hidden="0" customHeight="1">
      <x:c r="A5" s="43" t="str">
        <x:v>CLD-F001</x:v>
      </x:c>
      <x:c r="B5" s="43" t="str">
        <x:v>CLD-02</x:v>
      </x:c>
      <x:c r="C5" s="43" t="str">
        <x:v>IAM</x:v>
      </x:c>
      <x:c r="D5" s="43" t="str">
        <x:v>Privileged access evidence incomplete</x:v>
      </x:c>
      <x:c r="E5" s="43" t="str">
        <x:v>One privileged administration path is not covered by the latest recertification evidence.</x:v>
      </x:c>
      <x:c r="F5" s="43" t="str">
        <x:v>Unreviewed administrative access may persist without sufficient oversight.</x:v>
      </x:c>
      <x:c r="G5" s="43" t="str">
        <x:v>High</x:v>
      </x:c>
      <x:c r="H5" s="43" t="str">
        <x:v>Open</x:v>
      </x:c>
      <x:c r="I5" s="43" t="str">
        <x:v>Complete privileged-access inventory reconciliation and quarterly recertification.</x:v>
      </x:c>
      <x:c r="J5" s="43" t="str">
        <x:v>IAM Lead</x:v>
      </x:c>
      <x:c r="K5" s="53" t="n">
        <x:v>46310</x:v>
      </x:c>
      <x:c r="L5" s="43" t="str">
        <x:v>Follow-up access review</x:v>
      </x:c>
    </x:row>
    <x:row r="6" ht="26.399999618530273" hidden="0" customHeight="1">
      <x:c r="A6" s="43" t="str">
        <x:v>CLD-F002</x:v>
      </x:c>
      <x:c r="B6" s="43" t="str">
        <x:v>CLD-10</x:v>
      </x:c>
      <x:c r="C6" s="43" t="str">
        <x:v>Recovery</x:v>
      </x:c>
      <x:c r="D6" s="43" t="str">
        <x:v>Restore-test evidence incomplete</x:v>
      </x:c>
      <x:c r="E6" s="43" t="str">
        <x:v>One critical workload has backup evidence but no documented restore-test result.</x:v>
      </x:c>
      <x:c r="F6" s="43" t="str">
        <x:v>Backups may exist but recoverability is not demonstrated.</x:v>
      </x:c>
      <x:c r="G6" s="43" t="str">
        <x:v>High</x:v>
      </x:c>
      <x:c r="H6" s="43" t="str">
        <x:v>Open</x:v>
      </x:c>
      <x:c r="I6" s="43" t="str">
        <x:v>Perform and document restore testing for all critical workloads.</x:v>
      </x:c>
      <x:c r="J6" s="43" t="str">
        <x:v>Infrastructure Lead</x:v>
      </x:c>
      <x:c r="K6" s="53" t="n">
        <x:v>46315</x:v>
      </x:c>
      <x:c r="L6" s="43" t="str">
        <x:v>Restore report</x:v>
      </x:c>
    </x:row>
    <x:row r="7" ht="26.399999618530273" hidden="0" customHeight="1">
      <x:c r="A7" s="43" t="str">
        <x:v>CLD-F003</x:v>
      </x:c>
      <x:c r="B7" s="43" t="str">
        <x:v>CLD-08</x:v>
      </x:c>
      <x:c r="C7" s="43" t="str">
        <x:v>Vulnerability</x:v>
      </x:c>
      <x:c r="D7" s="43" t="str">
        <x:v>Patch evidence outside SLA</x:v>
      </x:c>
      <x:c r="E7" s="43" t="str">
        <x:v>One EC2 workload had a simulated critical patch item remediated after the target window.</x:v>
      </x:c>
      <x:c r="F7" s="43" t="str">
        <x:v>Delayed remediation increases exposure to known vulnerabilities.</x:v>
      </x:c>
      <x:c r="G7" s="43" t="str">
        <x:v>Medium</x:v>
      </x:c>
      <x:c r="H7" s="43" t="str">
        <x:v>Open</x:v>
      </x:c>
      <x:c r="I7" s="43" t="str">
        <x:v>Track critical patch SLAs with escalation and exception approval.</x:v>
      </x:c>
      <x:c r="J7" s="43" t="str">
        <x:v>Platform Lead</x:v>
      </x:c>
      <x:c r="K7" s="53" t="n">
        <x:v>46305</x:v>
      </x:c>
      <x:c r="L7" s="43" t="str">
        <x:v>Patch/remediation report</x:v>
      </x:c>
    </x:row>
    <x:row r="8" ht="26.399999618530273" hidden="0" customHeight="1">
      <x:c r="A8" s="43" t="str">
        <x:v>CLD-F004</x:v>
      </x:c>
      <x:c r="B8" s="43" t="str">
        <x:v>CLD-11</x:v>
      </x:c>
      <x:c r="C8" s="43" t="str">
        <x:v>Configuration</x:v>
      </x:c>
      <x:c r="D8" s="43" t="str">
        <x:v>Public storage configuration exception</x:v>
      </x:c>
      <x:c r="E8" s="43" t="str">
        <x:v>One simulated storage bucket was reachable from a broader network scope than intended.</x:v>
      </x:c>
      <x:c r="F8" s="43" t="str">
        <x:v>Sensitive data could be exposed through misconfiguration.</x:v>
      </x:c>
      <x:c r="G8" s="43" t="str">
        <x:v>High</x:v>
      </x:c>
      <x:c r="H8" s="43" t="str">
        <x:v>Open</x:v>
      </x:c>
      <x:c r="I8" s="43" t="str">
        <x:v>Restrict bucket policy/public access and add CSPM alerting for recurrence.</x:v>
      </x:c>
      <x:c r="J8" s="43" t="str">
        <x:v>Cloud Security Lead</x:v>
      </x:c>
      <x:c r="K8" s="53" t="n">
        <x:v>46300</x:v>
      </x:c>
      <x:c r="L8" s="43" t="str">
        <x:v>Configuration evidence and CSPM retest</x:v>
      </x:c>
    </x:row>
    <x:row r="9" ht="15" hidden="0" customHeight="1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</x:row>
    <x:row r="10" ht="15" hidden="0" customHeight="1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</x:row>
    <x:row r="11" ht="15" hidden="0" customHeight="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 ht="15" hidden="0" customHeight="1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</x:row>
    <x:row r="13" ht="15" hidden="0" customHeight="1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</x:row>
    <x:row r="14" ht="15" hidden="0" customHeight="1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 ht="15" hidden="0" customHeight="1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</x:sheetData>
  <x:mergeCells>
    <x:mergeCell ref="A1:L1"/>
    <x:mergeCell ref="A2:L2"/>
  </x:mergeCells>
  <x:conditionalFormatting sqref="G5:G8">
    <x:cfRule type="expression" dxfId="2" priority="1">
      <x:formula>G5="High"</x:formula>
    </x:cfRule>
    <x:cfRule type="expression" dxfId="3" priority="2">
      <x:formula>G5="Medium"</x:formula>
    </x:cfRule>
  </x:conditionalFormatting>
  <x:dataValidations count="2">
    <x:dataValidation type="list" sqref="G5:G8">
      <x:formula1>"Critical,High,Medium,Low,Informational"</x:formula1>
    </x:dataValidation>
    <x:dataValidation type="list" sqref="H5:H8">
      <x:formula1>"Open,In Progress,Closed,Accepted"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a154c86e74fa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4" hidden="0" customWidth="1"/>
    <x:col min="4" max="4" width="22" hidden="0" customWidth="1"/>
    <x:col min="5" max="5" width="14" hidden="0" customWidth="1"/>
    <x:col min="6" max="6" width="14" hidden="0" customWidth="1"/>
    <x:col min="7" max="7" width="40" hidden="0" customWidth="1"/>
    <x:col min="8" max="8" width="14" hidden="0" customWidth="1"/>
    <x:col min="9" max="9" width="32" hidden="0" customWidth="1"/>
    <x:col min="10" max="10" width="14" hidden="0" customWidth="1"/>
    <x:col min="11" max="11" width="26" hidden="0" customWidth="1"/>
  </x:cols>
  <x:sheetData>
    <x:row r="1" ht="19.200000762939453" hidden="0" customHeight="1">
      <x:c r="A1" s="41" t="str">
        <x:v>Cloud GRC Remediation Tracker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3"/>
    </x:row>
    <x:row r="2" ht="15" hidden="0" customHeight="1">
      <x:c r="A2" s="42" t="str">
        <x:v>Actions remain open until evidence confirms implementation and follow-up validation.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3"/>
    </x:row>
    <x:row r="3" ht="15" hidden="0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15" hidden="0" customHeight="1">
      <x:c r="A4" s="44" t="str">
        <x:v>Action ID</x:v>
      </x:c>
      <x:c r="B4" s="44" t="str">
        <x:v>Finding ID</x:v>
      </x:c>
      <x:c r="C4" s="44" t="str">
        <x:v>Action</x:v>
      </x:c>
      <x:c r="D4" s="44" t="str">
        <x:v>Owner</x:v>
      </x:c>
      <x:c r="E4" s="44" t="str">
        <x:v>Priority</x:v>
      </x:c>
      <x:c r="F4" s="44" t="str">
        <x:v>Target Date</x:v>
      </x:c>
      <x:c r="G4" s="44" t="str">
        <x:v>Success Measure</x:v>
      </x:c>
      <x:c r="H4" s="44" t="str">
        <x:v>Status</x:v>
      </x:c>
      <x:c r="I4" s="44" t="str">
        <x:v>Validation Method</x:v>
      </x:c>
      <x:c r="J4" s="44" t="str">
        <x:v>Residual Risk</x:v>
      </x:c>
      <x:c r="K4" s="44" t="str">
        <x:v>Notes</x:v>
      </x:c>
      <x:c r="L4" s="43"/>
    </x:row>
    <x:row r="5" ht="26.399999618530273" hidden="0" customHeight="1">
      <x:c r="A5" s="43" t="str">
        <x:v>RA-CLD-001</x:v>
      </x:c>
      <x:c r="B5" s="43" t="str">
        <x:v>CLD-F001</x:v>
      </x:c>
      <x:c r="C5" s="43" t="str">
        <x:v>Reconcile privileged-role population and complete recertification.</x:v>
      </x:c>
      <x:c r="D5" s="43" t="str">
        <x:v>IAM Lead</x:v>
      </x:c>
      <x:c r="E5" s="43" t="str">
        <x:v>High</x:v>
      </x:c>
      <x:c r="F5" s="53" t="n">
        <x:v>46310</x:v>
      </x:c>
      <x:c r="G5" s="43" t="str">
        <x:v>100% of privileged roles traced to review evidence.</x:v>
      </x:c>
      <x:c r="H5" s="43" t="str">
        <x:v>Open</x:v>
      </x:c>
      <x:c r="I5" s="43" t="str">
        <x:v>Sample-based follow-up review</x:v>
      </x:c>
      <x:c r="J5" s="43" t="str">
        <x:v>High</x:v>
      </x:c>
      <x:c r="K5" s="43" t="str"/>
      <x:c r="L5" s="43"/>
    </x:row>
    <x:row r="6" ht="26.399999618530273" hidden="0" customHeight="1">
      <x:c r="A6" s="43" t="str">
        <x:v>RA-CLD-002</x:v>
      </x:c>
      <x:c r="B6" s="43" t="str">
        <x:v>CLD-F002</x:v>
      </x:c>
      <x:c r="C6" s="43" t="str">
        <x:v>Run restore test for critical workload and retain recovery evidence.</x:v>
      </x:c>
      <x:c r="D6" s="43" t="str">
        <x:v>Infrastructure Lead</x:v>
      </x:c>
      <x:c r="E6" s="43" t="str">
        <x:v>High</x:v>
      </x:c>
      <x:c r="F6" s="53" t="n">
        <x:v>46315</x:v>
      </x:c>
      <x:c r="G6" s="43" t="str">
        <x:v>All critical workloads have documented successful restore evidence.</x:v>
      </x:c>
      <x:c r="H6" s="43" t="str">
        <x:v>Open</x:v>
      </x:c>
      <x:c r="I6" s="43" t="str">
        <x:v>Review restore report and retest</x:v>
      </x:c>
      <x:c r="J6" s="43" t="str">
        <x:v>Medium</x:v>
      </x:c>
      <x:c r="K6" s="43" t="str"/>
      <x:c r="L6" s="43"/>
    </x:row>
    <x:row r="7" ht="26.399999618530273" hidden="0" customHeight="1">
      <x:c r="A7" s="43" t="str">
        <x:v>RA-CLD-003</x:v>
      </x:c>
      <x:c r="B7" s="43" t="str">
        <x:v>CLD-F003</x:v>
      </x:c>
      <x:c r="C7" s="43" t="str">
        <x:v>Automate patch-SLA monitoring and escalation.</x:v>
      </x:c>
      <x:c r="D7" s="43" t="str">
        <x:v>Platform Lead</x:v>
      </x:c>
      <x:c r="E7" s="43" t="str">
        <x:v>Medium</x:v>
      </x:c>
      <x:c r="F7" s="53" t="n">
        <x:v>46305</x:v>
      </x:c>
      <x:c r="G7" s="43" t="str">
        <x:v>Critical patch exceptions are escalated within defined SLA.</x:v>
      </x:c>
      <x:c r="H7" s="43" t="str">
        <x:v>Open</x:v>
      </x:c>
      <x:c r="I7" s="43" t="str">
        <x:v>Review next monthly patch cycle</x:v>
      </x:c>
      <x:c r="J7" s="43" t="str">
        <x:v>Low</x:v>
      </x:c>
      <x:c r="K7" s="43" t="str"/>
      <x:c r="L7" s="43"/>
    </x:row>
    <x:row r="8" ht="26.399999618530273" hidden="0" customHeight="1">
      <x:c r="A8" s="43" t="str">
        <x:v>RA-CLD-004</x:v>
      </x:c>
      <x:c r="B8" s="43" t="str">
        <x:v>CLD-F004</x:v>
      </x:c>
      <x:c r="C8" s="43" t="str">
        <x:v>Restrict public storage access and add recurring CSPM alert.</x:v>
      </x:c>
      <x:c r="D8" s="43" t="str">
        <x:v>Cloud Security Lead</x:v>
      </x:c>
      <x:c r="E8" s="43" t="str">
        <x:v>High</x:v>
      </x:c>
      <x:c r="F8" s="53" t="n">
        <x:v>46300</x:v>
      </x:c>
      <x:c r="G8" s="43" t="str">
        <x:v>No unintended public buckets remain in scope.</x:v>
      </x:c>
      <x:c r="H8" s="43" t="str">
        <x:v>Open</x:v>
      </x:c>
      <x:c r="I8" s="43" t="str">
        <x:v>CSPM retest and policy review</x:v>
      </x:c>
      <x:c r="J8" s="43" t="str">
        <x:v>Low</x:v>
      </x:c>
      <x:c r="K8" s="43" t="str"/>
      <x:c r="L8" s="43"/>
    </x:row>
    <x:row r="9" ht="15" hidden="0" customHeight="1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</x:row>
    <x:row r="10" ht="15" hidden="0" customHeight="1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</x:row>
    <x:row r="11" ht="15" hidden="0" customHeight="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 ht="15" hidden="0" customHeight="1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</x:row>
    <x:row r="13" ht="15" hidden="0" customHeight="1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</x:row>
    <x:row r="14" ht="15" hidden="0" customHeight="1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 ht="15" hidden="0" customHeight="1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</x:sheetData>
  <x:mergeCells>
    <x:mergeCell ref="A1:K1"/>
    <x:mergeCell ref="A2:K2"/>
  </x:mergeCells>
  <x:conditionalFormatting sqref="H5:H8">
    <x:cfRule type="expression" dxfId="4" priority="1">
      <x:formula>H5="Open"</x:formula>
    </x:cfRule>
    <x:cfRule type="expression" dxfId="5" priority="2">
      <x:formula>H5="In Progress"</x:formula>
    </x:cfRule>
    <x:cfRule type="expression" dxfId="6" priority="3">
      <x:formula>H5="Closed"</x:formula>
    </x:cfRule>
  </x:conditionalFormatting>
  <x:dataValidations count="2">
    <x:dataValidation type="list" sqref="E5:E8">
      <x:formula1>"Critical,High,Medium,Low"</x:formula1>
    </x:dataValidation>
    <x:dataValidation type="list" sqref="H5:H8">
      <x:formula1>"Open,In Progress,Closed,Accepted"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1e6f016a714fa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4" max="4" width="24" hidden="0" customWidth="1"/>
    <x:col min="5" max="5" width="14" hidden="0" customWidth="1"/>
  </x:cols>
  <x:sheetData>
    <x:row r="1" ht="19.200000762939453" hidden="0" customHeight="1">
      <x:c r="A1" s="41" t="str">
        <x:v>Executive Cloud GRC Assessment Summary</x:v>
      </x:c>
      <x:c r="B1" s="41"/>
      <x:c r="C1" s="41"/>
      <x:c r="D1" s="41"/>
      <x:c r="E1" s="41"/>
      <x:c r="F1" s="41"/>
      <x:c r="G1" s="41"/>
      <x:c r="H1" s="41"/>
      <x:c r="I1" s="43"/>
      <x:c r="J1" s="43"/>
      <x:c r="K1" s="43"/>
      <x:c r="L1" s="43"/>
    </x:row>
    <x:row r="2" ht="15" hidden="0" customHeight="1">
      <x:c r="A2" s="42" t="str">
        <x:v>Northstar Cloud Services Pvt. Ltd. — simulated Q3 2026 assessment.</x:v>
      </x:c>
      <x:c r="B2" s="42"/>
      <x:c r="C2" s="42"/>
      <x:c r="D2" s="42"/>
      <x:c r="E2" s="42"/>
      <x:c r="F2" s="42"/>
      <x:c r="G2" s="42"/>
      <x:c r="H2" s="42"/>
      <x:c r="I2" s="43"/>
      <x:c r="J2" s="43"/>
      <x:c r="K2" s="43"/>
      <x:c r="L2" s="43"/>
    </x:row>
    <x:row r="3" ht="15" hidden="0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</x:row>
    <x:row r="4" ht="15" hidden="0" customHeight="1">
      <x:c r="A4" s="44" t="str">
        <x:v>Section</x:v>
      </x:c>
      <x:c r="B4" s="44" t="str">
        <x:v>Summary</x:v>
      </x:c>
      <x:c r="C4" s="43"/>
      <x:c r="D4" s="44" t="str">
        <x:v>Domain</x:v>
      </x:c>
      <x:c r="E4" s="44" t="str">
        <x:v>Controls</x:v>
      </x:c>
      <x:c r="F4" s="43"/>
      <x:c r="G4" s="43"/>
      <x:c r="H4" s="43"/>
      <x:c r="I4" s="43"/>
      <x:c r="J4" s="43"/>
      <x:c r="K4" s="43"/>
      <x:c r="L4" s="43"/>
    </x:row>
    <x:row r="5" ht="26.399999618530273" hidden="0" customHeight="1">
      <x:c r="A5" s="43" t="str">
        <x:v>Objective</x:v>
      </x:c>
      <x:c r="B5" s="43" t="str">
        <x:v>Assess selected cloud governance and security controls across identity, network, logging, encryption, vulnerability management, backup/recovery, configuration and incident response.</x:v>
      </x:c>
      <x:c r="C5" s="43"/>
      <x:c r="D5" s="43" t="str">
        <x:v>IAM</x:v>
      </x:c>
      <x:c r="E5" s="43" t="n">
        <x:v>3</x:v>
      </x:c>
      <x:c r="F5" s="43"/>
      <x:c r="G5" s="43"/>
      <x:c r="H5" s="43"/>
      <x:c r="I5" s="43"/>
      <x:c r="J5" s="43"/>
      <x:c r="K5" s="43"/>
      <x:c r="L5" s="43"/>
    </x:row>
    <x:row r="6" ht="15" hidden="0" customHeight="1">
      <x:c r="A6" s="43" t="str">
        <x:v>Scope</x:v>
      </x:c>
      <x:c r="B6" s="43" t="str">
        <x:v>12 cloud assets; 15 controls; 15 evidence records; 4 simulated findings.</x:v>
      </x:c>
      <x:c r="C6" s="43"/>
      <x:c r="D6" s="43" t="str">
        <x:v>Network</x:v>
      </x:c>
      <x:c r="E6" s="43" t="n">
        <x:v>1</x:v>
      </x:c>
      <x:c r="F6" s="43"/>
      <x:c r="G6" s="43"/>
      <x:c r="H6" s="43"/>
      <x:c r="I6" s="43"/>
      <x:c r="J6" s="43"/>
      <x:c r="K6" s="43"/>
      <x:c r="L6" s="43"/>
    </x:row>
    <x:row r="7" ht="26.399999618530273" hidden="0" customHeight="1">
      <x:c r="A7" s="43" t="str">
        <x:v>Shared Responsibility</x:v>
      </x:c>
      <x:c r="B7" s="43" t="str">
        <x:v>Provider-side infrastructure controls are treated as inherited where applicable; customer-side configuration, data, IAM and workload controls remain in scope.</x:v>
      </x:c>
      <x:c r="C7" s="43"/>
      <x:c r="D7" s="43" t="str">
        <x:v>Logging/Monitoring</x:v>
      </x:c>
      <x:c r="E7" s="43" t="n">
        <x:v>2</x:v>
      </x:c>
      <x:c r="F7" s="43"/>
      <x:c r="G7" s="43"/>
      <x:c r="H7" s="43"/>
      <x:c r="I7" s="43"/>
      <x:c r="J7" s="43"/>
      <x:c r="K7" s="43"/>
      <x:c r="L7" s="43"/>
    </x:row>
    <x:row r="8" ht="15" hidden="0" customHeight="1">
      <x:c r="A8" s="43" t="str">
        <x:v>Key Finding 1</x:v>
      </x:c>
      <x:c r="B8" s="43" t="str">
        <x:v>Privileged access recertification evidence is incomplete for one administration path.</x:v>
      </x:c>
      <x:c r="C8" s="43"/>
      <x:c r="D8" s="43" t="str">
        <x:v>Data Protection</x:v>
      </x:c>
      <x:c r="E8" s="43" t="n">
        <x:v>2</x:v>
      </x:c>
      <x:c r="F8" s="43"/>
      <x:c r="G8" s="43"/>
      <x:c r="H8" s="43"/>
      <x:c r="I8" s="43"/>
      <x:c r="J8" s="43"/>
      <x:c r="K8" s="43"/>
      <x:c r="L8" s="43"/>
    </x:row>
    <x:row r="9" ht="15" hidden="0" customHeight="1">
      <x:c r="A9" s="43" t="str">
        <x:v>Key Finding 2</x:v>
      </x:c>
      <x:c r="B9" s="43" t="str">
        <x:v>Restore-test evidence is incomplete for one critical workload.</x:v>
      </x:c>
      <x:c r="C9" s="43"/>
      <x:c r="D9" s="43" t="str">
        <x:v>Resilience</x:v>
      </x:c>
      <x:c r="E9" s="43" t="n">
        <x:v>2</x:v>
      </x:c>
      <x:c r="F9" s="43"/>
      <x:c r="G9" s="43"/>
      <x:c r="H9" s="43"/>
      <x:c r="I9" s="43"/>
      <x:c r="J9" s="43"/>
      <x:c r="K9" s="43"/>
      <x:c r="L9" s="43"/>
    </x:row>
    <x:row r="10" ht="15" hidden="0" customHeight="1">
      <x:c r="A10" s="43" t="str">
        <x:v>Key Finding 3</x:v>
      </x:c>
      <x:c r="B10" s="43" t="str">
        <x:v>One patch item exceeded the defined remediation target.</x:v>
      </x:c>
      <x:c r="C10" s="43"/>
      <x:c r="D10" s="43" t="str">
        <x:v>Configuration/Vulnerability</x:v>
      </x:c>
      <x:c r="E10" s="43" t="n">
        <x:v>2</x:v>
      </x:c>
      <x:c r="F10" s="43"/>
      <x:c r="G10" s="43"/>
      <x:c r="H10" s="43"/>
      <x:c r="I10" s="43"/>
      <x:c r="J10" s="43"/>
      <x:c r="K10" s="43"/>
      <x:c r="L10" s="43"/>
    </x:row>
    <x:row r="11" ht="15" hidden="0" customHeight="1">
      <x:c r="A11" s="43" t="str">
        <x:v>Key Finding 4</x:v>
      </x:c>
      <x:c r="B11" s="43" t="str">
        <x:v>One simulated storage configuration permitted broader access than intended.</x:v>
      </x:c>
      <x:c r="C11" s="43"/>
      <x:c r="D11" s="43" t="str">
        <x:v>Governance/IR/Change</x:v>
      </x:c>
      <x:c r="E11" s="43" t="n">
        <x:v>3</x:v>
      </x:c>
      <x:c r="F11" s="43"/>
      <x:c r="G11" s="43"/>
      <x:c r="H11" s="43"/>
      <x:c r="I11" s="43"/>
      <x:c r="J11" s="43"/>
      <x:c r="K11" s="43"/>
      <x:c r="L11" s="43"/>
    </x:row>
    <x:row r="12" ht="39.599998474121094" hidden="0" customHeight="1">
      <x:c r="A12" s="43" t="str">
        <x:v>Overall Conclusion</x:v>
      </x:c>
      <x:c r="B12" s="43" t="str">
        <x:v>The simulated cloud control environment has a defined governance foundation, but remediation and validation are required in privileged access, recoverability, vulnerability SLAs and secure configuration.</x:v>
      </x:c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</x:row>
    <x:row r="13" ht="15" hidden="0" customHeight="1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</x:row>
    <x:row r="14" ht="15" hidden="0" customHeight="1">
      <x:c r="A14" s="44" t="str">
        <x:v>Management Priorities</x:v>
      </x:c>
      <x:c r="B14" s="44" t="str">
        <x:v>Action</x:v>
      </x:c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 ht="15" hidden="0" customHeight="1">
      <x:c r="A15" s="43" t="str">
        <x:v>1</x:v>
      </x:c>
      <x:c r="B15" s="43" t="str">
        <x:v>Close privileged-access evidence and recertification gap.</x:v>
      </x:c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 ht="15" hidden="0" customHeight="1">
      <x:c r="A16" s="43" t="str">
        <x:v>2</x:v>
      </x:c>
      <x:c r="B16" s="43" t="str">
        <x:v>Complete restore testing for critical workloads.</x:v>
      </x:c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</x:row>
    <x:row r="17" ht="15" hidden="0" customHeight="1">
      <x:c r="A17" s="43" t="str">
        <x:v>3</x:v>
      </x:c>
      <x:c r="B17" s="43" t="str">
        <x:v>Strengthen patch SLA monitoring and escalation.</x:v>
      </x:c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 ht="15" hidden="0" customHeight="1">
      <x:c r="A18" s="43" t="str">
        <x:v>4</x:v>
      </x:c>
      <x:c r="B18" s="43" t="str">
        <x:v>Remove unintended public exposure and improve CSPM alerting.</x:v>
      </x:c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 ht="15" hidden="0" customHeight="1">
      <x:c r="A19" s="43" t="str">
        <x:v>5</x:v>
      </x:c>
      <x:c r="B19" s="43" t="str">
        <x:v>Repeat control validation after remediation.</x:v>
      </x:c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60" hidden="0" customWidth="1"/>
    <x:col min="4" max="4" width="46" hidden="0" customWidth="1"/>
  </x:cols>
  <x:sheetData>
    <x:row r="1" ht="19.200000762939453" hidden="0" customHeight="1">
      <x:c r="A1" s="41" t="str">
        <x:v>Cloud GRC Reference Sources</x:v>
      </x:c>
      <x:c r="B1" s="41"/>
      <x:c r="C1" s="41"/>
      <x:c r="D1" s="41"/>
      <x:c r="E1" s="43"/>
      <x:c r="F1" s="43"/>
      <x:c r="G1" s="43"/>
      <x:c r="H1" s="43"/>
      <x:c r="I1" s="43"/>
      <x:c r="J1" s="43"/>
      <x:c r="K1" s="43"/>
      <x:c r="L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</x:row>
    <x:row r="3" ht="15" hidden="0" customHeight="1">
      <x:c r="A3" s="44" t="str">
        <x:v>Source</x:v>
      </x:c>
      <x:c r="B3" s="44" t="str">
        <x:v>Topic</x:v>
      </x:c>
      <x:c r="C3" s="44" t="str">
        <x:v>URL</x:v>
      </x:c>
      <x:c r="D3" s="44" t="str">
        <x:v>Used For</x:v>
      </x:c>
      <x:c r="E3" s="43"/>
      <x:c r="F3" s="43"/>
      <x:c r="G3" s="43"/>
      <x:c r="H3" s="43"/>
      <x:c r="I3" s="43"/>
      <x:c r="J3" s="43"/>
      <x:c r="K3" s="43"/>
      <x:c r="L3" s="43"/>
    </x:row>
    <x:row r="4" ht="15" hidden="0" customHeight="1">
      <x:c r="A4" s="43" t="str">
        <x:v>AWS Shared Responsibility Model</x:v>
      </x:c>
      <x:c r="B4" s="43" t="str">
        <x:v>AWS / Customer responsibilities</x:v>
      </x:c>
      <x:c r="C4" s="43" t="str">
        <x:v>https://aws.amazon.com/compliance/shared-responsibility-model/</x:v>
      </x:c>
      <x:c r="D4" s="43" t="str">
        <x:v>Shared responsibility and service-specific customer duties</x:v>
      </x:c>
      <x:c r="E4" s="43"/>
      <x:c r="F4" s="43"/>
      <x:c r="G4" s="43"/>
      <x:c r="H4" s="43"/>
      <x:c r="I4" s="43"/>
      <x:c r="J4" s="43"/>
      <x:c r="K4" s="43"/>
      <x:c r="L4" s="43"/>
    </x:row>
    <x:row r="5" ht="26.399999618530273" hidden="0" customHeight="1">
      <x:c r="A5" s="43" t="str">
        <x:v>AWS Well-Architected Security Pillar</x:v>
      </x:c>
      <x:c r="B5" s="43" t="str">
        <x:v>Cloud security / shared responsibility</x:v>
      </x:c>
      <x:c r="C5" s="43" t="str">
        <x:v>https://docs.aws.amazon.com/wellarchitected/latest/security-pillar/shared-responsibility.html</x:v>
      </x:c>
      <x:c r="D5" s="43" t="str">
        <x:v>Cloud security control ownership</x:v>
      </x:c>
      <x:c r="E5" s="43"/>
      <x:c r="F5" s="43"/>
      <x:c r="G5" s="43"/>
      <x:c r="H5" s="43"/>
      <x:c r="I5" s="43"/>
      <x:c r="J5" s="43"/>
      <x:c r="K5" s="43"/>
      <x:c r="L5" s="43"/>
    </x:row>
    <x:row r="6" ht="26.399999618530273" hidden="0" customHeight="1">
      <x:c r="A6" s="43" t="str">
        <x:v>Microsoft Azure Shared Responsibility</x:v>
      </x:c>
      <x:c r="B6" s="43" t="str">
        <x:v>Azure customer responsibilities</x:v>
      </x:c>
      <x:c r="C6" s="43" t="str">
        <x:v>https://learn.microsoft.com/en-us/azure/enclave/shared-responsibility-model</x:v>
      </x:c>
      <x:c r="D6" s="43" t="str">
        <x:v>Cross-cloud comparison of responsibility boundary</x:v>
      </x:c>
      <x:c r="E6" s="43"/>
      <x:c r="F6" s="43"/>
      <x:c r="G6" s="43"/>
      <x:c r="H6" s="43"/>
      <x:c r="I6" s="43"/>
      <x:c r="J6" s="43"/>
      <x:c r="K6" s="43"/>
      <x:c r="L6" s="43"/>
    </x:row>
    <x:row r="7" ht="15" hidden="0" customHeight="1">
      <x:c r="A7" s="43" t="str">
        <x:v>NIST CSF 2.0</x:v>
      </x:c>
      <x:c r="B7" s="43" t="str">
        <x:v>Cybersecurity risk outcomes</x:v>
      </x:c>
      <x:c r="C7" s="43" t="str">
        <x:v>https://www.nist.gov/cyberframework</x:v>
      </x:c>
      <x:c r="D7" s="43" t="str">
        <x:v>Govern, Identify, Protect, Detect, Respond, Recover</x:v>
      </x:c>
      <x:c r="E7" s="43"/>
      <x:c r="F7" s="43"/>
      <x:c r="G7" s="43"/>
      <x:c r="H7" s="43"/>
      <x:c r="I7" s="43"/>
      <x:c r="J7" s="43"/>
      <x:c r="K7" s="43"/>
      <x:c r="L7" s="43"/>
    </x:row>
    <x:row r="8" ht="26.399999618530273" hidden="0" customHeight="1">
      <x:c r="A8" s="43" t="str">
        <x:v>NIST SP 800-53 Rev. 5</x:v>
      </x:c>
      <x:c r="B8" s="43" t="str">
        <x:v>Security and privacy control families</x:v>
      </x:c>
      <x:c r="C8" s="43" t="str">
        <x:v>https://csrc.nist.gov/pubs/sp/800/53/r5/final</x:v>
      </x:c>
      <x:c r="D8" s="43" t="str">
        <x:v>Access, audit, configuration, contingency and system protection themes</x:v>
      </x:c>
      <x:c r="E8" s="43"/>
      <x:c r="F8" s="43"/>
      <x:c r="G8" s="43"/>
      <x:c r="H8" s="43"/>
      <x:c r="I8" s="43"/>
      <x:c r="J8" s="43"/>
      <x:c r="K8" s="43"/>
      <x:c r="L8" s="43"/>
    </x:row>
    <x:row r="9" ht="26.399999618530273" hidden="0" customHeight="1">
      <x:c r="A9" s="43" t="str">
        <x:v>CIS Critical Security Controls v8.1</x:v>
      </x:c>
      <x:c r="B9" s="43" t="str">
        <x:v>Prioritized safeguards including cloud</x:v>
      </x:c>
      <x:c r="C9" s="43" t="str">
        <x:v>https://www.cisecurity.org/controls</x:v>
      </x:c>
      <x:c r="D9" s="43" t="str">
        <x:v>Asset, access, configuration, vulnerability and service-provider management themes</x:v>
      </x:c>
      <x:c r="E9" s="43"/>
      <x:c r="F9" s="43"/>
      <x:c r="G9" s="43"/>
      <x:c r="H9" s="43"/>
      <x:c r="I9" s="43"/>
      <x:c r="J9" s="43"/>
      <x:c r="K9" s="43"/>
      <x:c r="L9" s="43"/>
    </x:row>
    <x:row r="10" ht="15" hidden="0" customHeight="1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</x:row>
    <x:row r="11" ht="15" hidden="0" customHeight="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</x:row>
    <x:row r="12" ht="15" hidden="0" customHeight="1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</x:row>
    <x:row r="13" ht="15" hidden="0" customHeight="1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</x:row>
    <x:row r="14" ht="15" hidden="0" customHeight="1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</x:row>
    <x:row r="15" ht="15" hidden="0" customHeight="1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</x:row>
  </x:sheetData>
  <x:mergeCells>
    <x:mergeCell ref="A1:D1"/>
  </x:mergeCells>
  <x:pageMargins left="0.7" right="0.7" top="0.75" bottom="0.75" header="0.3" footer="0.3"/>
</x:worksheet>
</file>