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cbff7f813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467575996c4fc9"/>
    <x:sheet xmlns:r="http://schemas.openxmlformats.org/officeDocument/2006/relationships" name="Control Matrix" sheetId="2" r:id="Ra828371cdfab4efc"/>
    <x:sheet xmlns:r="http://schemas.openxmlformats.org/officeDocument/2006/relationships" name="Risk Register" sheetId="3" r:id="R1b4715c14d7f4552"/>
    <x:sheet xmlns:r="http://schemas.openxmlformats.org/officeDocument/2006/relationships" name="Gap Assessment" sheetId="4" r:id="R050f5f77709a4fd0"/>
    <x:sheet xmlns:r="http://schemas.openxmlformats.org/officeDocument/2006/relationships" name="Evidence Index" sheetId="5" r:id="Re8c134b0d5db4ada"/>
    <x:sheet xmlns:r="http://schemas.openxmlformats.org/officeDocument/2006/relationships" name="Findings" sheetId="6" r:id="Rbbb16aea39e74f60"/>
    <x:sheet xmlns:r="http://schemas.openxmlformats.org/officeDocument/2006/relationships" name="Remediation" sheetId="7" r:id="Re6993bbc761541be"/>
    <x:sheet xmlns:r="http://schemas.openxmlformats.org/officeDocument/2006/relationships" name="Scope &amp; Notes" sheetId="8" r:id="Rcc551fe264af48ad"/>
    <x:sheet xmlns:r="http://schemas.openxmlformats.org/officeDocument/2006/relationships" name="Sources" sheetId="9" r:id="R45fbd15b7483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0"/>
      <x:color rgb="FF16324F"/>
      <x:name val="Carlito"/>
    </x:font>
    <x:font>
      <x:b/>
      <x:sz val="20"/>
      <x:color rgb="FF16324F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sz val="11"/>
      <x:color rgb="FF243447"/>
      <x:name val="Carlito"/>
    </x:font>
    <x:font>
      <x:b/>
      <x:sz val="10"/>
      <x:color rgb="FF243447"/>
      <x:name val="Carlito"/>
    </x:font>
    <x:font>
      <x:b/>
      <x:sz val="10"/>
      <x:color rgb="FFFFFFFF"/>
      <x:name val="Carlito"/>
    </x:font>
    <x:font>
      <x:i/>
      <x:sz val="11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F6F8FA"/>
      </x:patternFill>
    </x:fill>
    <x:fill>
      <x:patternFill patternType="solid">
        <x:fgColor rgb="FF2F5D7E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ill>
        <x:patternFill patternType="solid">
          <x:bgColor rgb="FFE8F5E9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E8F5E9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E8F5E9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4976b6a314cf4" /><Relationship Type="http://schemas.openxmlformats.org/officeDocument/2006/relationships/theme" Target="/xl/theme/theme1.xml" Id="Rb37b3516d1bd4455" /><Relationship Type="http://schemas.openxmlformats.org/officeDocument/2006/relationships/sharedStrings" Target="/xl/sharedStrings.xml" Id="Rcb3d4c96e3b54caf" /><Relationship Type="http://schemas.openxmlformats.org/officeDocument/2006/relationships/worksheet" Target="/xl/worksheets/sheet1.xml" Id="R09467575996c4fc9" /><Relationship Type="http://schemas.openxmlformats.org/officeDocument/2006/relationships/worksheet" Target="/xl/worksheets/sheet2.xml" Id="Ra828371cdfab4efc" /><Relationship Type="http://schemas.openxmlformats.org/officeDocument/2006/relationships/worksheet" Target="/xl/worksheets/sheet3.xml" Id="R1b4715c14d7f4552" /><Relationship Type="http://schemas.openxmlformats.org/officeDocument/2006/relationships/worksheet" Target="/xl/worksheets/sheet4.xml" Id="R050f5f77709a4fd0" /><Relationship Type="http://schemas.openxmlformats.org/officeDocument/2006/relationships/worksheet" Target="/xl/worksheets/sheet5.xml" Id="Re8c134b0d5db4ada" /><Relationship Type="http://schemas.openxmlformats.org/officeDocument/2006/relationships/worksheet" Target="/xl/worksheets/sheet6.xml" Id="Rbbb16aea39e74f60" /><Relationship Type="http://schemas.openxmlformats.org/officeDocument/2006/relationships/worksheet" Target="/xl/worksheets/sheet7.xml" Id="Re6993bbc761541be" /><Relationship Type="http://schemas.openxmlformats.org/officeDocument/2006/relationships/worksheet" Target="/xl/worksheets/sheet8.xml" Id="Rcc551fe264af48ad" /><Relationship Type="http://schemas.openxmlformats.org/officeDocument/2006/relationships/worksheet" Target="/xl/worksheets/sheet9.xml" Id="R45fbd15b74834e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e18d10af6a48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 assessment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e18d10af6a48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SOControlMatrix" displayName="ISOControlMatrix" ref="A3:L18" headerRowCount="1" totalsRowCount="0" totalsRowShown="0">
  <x:tableColumns count="12">
    <x:tableColumn id="1" name="Control ID"/>
    <x:tableColumn id="2" name="ISO 27001 Reference"/>
    <x:tableColumn id="3" name="Control Objective"/>
    <x:tableColumn id="4" name="Current-State Description"/>
    <x:tableColumn id="5" name="Evidence Available"/>
    <x:tableColumn id="6" name="Assessment"/>
    <x:tableColumn id="7" name="Gap"/>
    <x:tableColumn id="8" name="Risk ID"/>
    <x:tableColumn id="9" name="Priority"/>
    <x:tableColumn id="10" name="Recommended Action"/>
    <x:tableColumn id="11" name="Owner"/>
    <x:tableColumn id="12" name="Target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ORiskRegister" displayName="ISORiskRegister" ref="A3:O18" headerRowCount="1" totalsRowCount="0" totalsRowShown="0">
  <x:tableColumns count="15">
    <x:tableColumn id="1" name="Risk ID"/>
    <x:tableColumn id="2" name="Risk Statement"/>
    <x:tableColumn id="3" name="Asset / Process"/>
    <x:tableColumn id="4" name="Threat Scenario"/>
    <x:tableColumn id="5" name="Weakness"/>
    <x:tableColumn id="6" name="Likelihood"/>
    <x:tableColumn id="7" name="Impact"/>
    <x:tableColumn id="8" name="Inherent Risk"/>
    <x:tableColumn id="9" name="Treatment"/>
    <x:tableColumn id="10" name="Residual Likelihood"/>
    <x:tableColumn id="11" name="Residual Impact"/>
    <x:tableColumn id="12" name="Residual Risk"/>
    <x:tableColumn id="13" name="Owner"/>
    <x:tableColumn id="14" name="Due Date"/>
    <x:tableColumn id="1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OGapAssessment" displayName="ISOGapAssessment" ref="A3:J11" headerRowCount="1" totalsRowCount="0" totalsRowShown="0">
  <x:tableColumns count="10">
    <x:tableColumn id="1" name="Gap ID"/>
    <x:tableColumn id="2" name="Control ID"/>
    <x:tableColumn id="3" name="Requirement/Objective"/>
    <x:tableColumn id="4" name="Current State"/>
    <x:tableColumn id="5" name="Expected State"/>
    <x:tableColumn id="6" name="Gap Description"/>
    <x:tableColumn id="7" name="Related Risk"/>
    <x:tableColumn id="8" name="Priority"/>
    <x:tableColumn id="9" name="Recommended Action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OEvidenceIndex" displayName="ISOEvidenceIndex" ref="A3:J18" headerRowCount="1" totalsRowCount="0" totalsRowShown="0">
  <x:tableColumns count="10">
    <x:tableColumn id="1" name="Evidence ID"/>
    <x:tableColumn id="2" name="Control ID"/>
    <x:tableColumn id="3" name="Evidence Name"/>
    <x:tableColumn id="4" name="Description"/>
    <x:tableColumn id="5" name="Owner"/>
    <x:tableColumn id="6" name="Period"/>
    <x:tableColumn id="7" name="Source"/>
    <x:tableColumn id="8" name="Expected Quality"/>
    <x:tableColumn id="9" name="Assessment Result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OFindings" displayName="ISOFindings" ref="A3:L11" headerRowCount="1" totalsRowCount="0" totalsRowShown="0">
  <x:tableColumns count="12">
    <x:tableColumn id="1" name="Finding ID"/>
    <x:tableColumn id="2" name="Control ID"/>
    <x:tableColumn id="3" name="Risk ID"/>
    <x:tableColumn id="4" name="Condition"/>
    <x:tableColumn id="5" name="Criteria"/>
    <x:tableColumn id="6" name="Cause"/>
    <x:tableColumn id="7" name="Impact"/>
    <x:tableColumn id="8" name="Risk"/>
    <x:tableColumn id="9" name="Recommendation"/>
    <x:tableColumn id="10" name="Owner"/>
    <x:tableColumn id="11" name="Due Date"/>
    <x:tableColumn id="1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ORemediation" displayName="ISORemediation" ref="A3:G18" headerRowCount="1" totalsRowCount="0" totalsRowShown="0">
  <x:tableColumns count="7">
    <x:tableColumn id="1" name="Action"/>
    <x:tableColumn id="2" name="Related Finding/Risk"/>
    <x:tableColumn id="3" name="Owner"/>
    <x:tableColumn id="4" name="Target"/>
    <x:tableColumn id="5" name="Priority"/>
    <x:tableColumn id="6" name="Status"/>
    <x:tableColumn id="7" name="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4dc96ddf5249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641e662d449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62c78fe18d4a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08a4256f5646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424e9117a5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582e077cf94b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5b782a6f284ef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1" ht="28" customHeight="1">
      <x:c r="A1" s="52" t="str">
        <x:v>ISO 27001:2022 Gap Assessment | Northstar Cloud Services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 ht="28" customHeight="1">
      <x:c r="A3" s="13" t="str">
        <x:v>Simulated internal gap assessment • Q3 2026 • Fictional company • For portfolio use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>
      <x:c r="A6" s="54" t="str">
        <x:v>Controls assessed</x:v>
      </x:c>
      <x:c r="B6" s="53"/>
      <x:c r="C6" s="53"/>
      <x:c r="D6" s="54" t="str">
        <x:v>Effective controls</x:v>
      </x:c>
      <x:c r="E6" s="53"/>
      <x:c r="F6" s="53"/>
      <x:c r="G6" s="54" t="str">
        <x:v>Partially effective</x:v>
      </x:c>
      <x:c r="H6" s="53"/>
      <x:c r="I6" s="53"/>
      <x:c r="J6" s="54" t="str">
        <x:v>Not evidenced</x:v>
      </x:c>
      <x:c r="K6" s="53"/>
      <x:c r="L6" s="53"/>
    </x:row>
    <x:row r="7">
      <x:c r="A7" s="55" t="n">
        <x:f>COUNTA('Control Matrix'!$A$4:$A$18)</x:f>
        <x:v>15</x:v>
      </x:c>
      <x:c r="B7" s="53"/>
      <x:c r="C7" s="53"/>
      <x:c r="D7" s="55" t="n">
        <x:f>COUNTIF('Control Matrix'!$F$4:$F$18,"Effective")</x:f>
        <x:v>4</x:v>
      </x:c>
      <x:c r="E7" s="53"/>
      <x:c r="F7" s="53"/>
      <x:c r="G7" s="55" t="n">
        <x:f>COUNTIF('Control Matrix'!$F$4:$F$18,"Partially Effective")</x:f>
        <x:v>10</x:v>
      </x:c>
      <x:c r="H7" s="53"/>
      <x:c r="I7" s="53"/>
      <x:c r="J7" s="55" t="n">
        <x:f>COUNTIF('Control Matrix'!$F$4:$F$18,"Not Evidenced")</x:f>
        <x:v>1</x:v>
      </x:c>
      <x:c r="K7" s="53"/>
      <x:c r="L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</x:row>
    <x:row r="10">
      <x:c r="A10" s="54" t="str">
        <x:v>Open findings</x:v>
      </x:c>
      <x:c r="B10" s="53"/>
      <x:c r="C10" s="53"/>
      <x:c r="D10" s="53"/>
      <x:c r="E10" s="53"/>
      <x:c r="F10" s="53"/>
      <x:c r="G10" s="54" t="str">
        <x:v>High findings</x:v>
      </x:c>
      <x:c r="H10" s="53"/>
      <x:c r="I10" s="53"/>
      <x:c r="J10" s="53"/>
      <x:c r="K10" s="53"/>
      <x:c r="L10" s="53"/>
    </x:row>
    <x:row r="11">
      <x:c r="A11" s="55" t="n">
        <x:f>COUNTIF(Findings!$L$4:$L$11,"Open")</x:f>
        <x:v>8</x:v>
      </x:c>
      <x:c r="B11" s="53"/>
      <x:c r="C11" s="53"/>
      <x:c r="D11" s="53"/>
      <x:c r="E11" s="53"/>
      <x:c r="F11" s="53"/>
      <x:c r="G11" s="55" t="n">
        <x:f>COUNTIF(Findings!$H$4:$H$11,"High")</x:f>
        <x:v>6</x:v>
      </x:c>
      <x:c r="H11" s="53"/>
      <x:c r="I11" s="53"/>
      <x:c r="J11" s="53"/>
      <x:c r="K11" s="53"/>
      <x:c r="L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</x:row>
    <x:row r="14">
      <x:c r="A14" s="36" t="str">
        <x:v>Assessment profile</x:v>
      </x:c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</x:row>
    <x:row r="15" ht="24" customHeight="1">
      <x:c r="A15" s="37" t="str">
        <x:v>Result</x:v>
      </x:c>
      <x:c r="B15" s="37" t="str">
        <x:v>Count</x:v>
      </x:c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</x:row>
    <x:row r="16">
      <x:c r="A16" s="42" t="str">
        <x:v>Effective</x:v>
      </x:c>
      <x:c r="B16" s="42" t="n">
        <x:f>COUNTIF('Control Matrix'!$F$4:$F$18,"Effective")</x:f>
        <x:v>4</x:v>
      </x:c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</x:row>
    <x:row r="17">
      <x:c r="A17" s="42" t="str">
        <x:v>Partially Effective</x:v>
      </x:c>
      <x:c r="B17" s="42" t="n">
        <x:f>COUNTIF('Control Matrix'!$F$4:$F$18,"Partially Effective")</x:f>
        <x:v>10</x:v>
      </x:c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</x:row>
    <x:row r="18">
      <x:c r="A18" s="42" t="str">
        <x:v>Not Evidenced</x:v>
      </x:c>
      <x:c r="B18" s="42" t="n">
        <x:f>COUNTIF('Control Matrix'!$F$4:$F$18,"Not Evidenced")</x:f>
        <x:v>1</x:v>
      </x:c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</x:row>
    <x:row r="20">
      <x:c r="A20" s="70" t="str">
        <x:v>Scope</x:v>
      </x:c>
      <x:c r="B20" s="42" t="str">
        <x:v>Selected Annex A controls plus related governance activities</x:v>
      </x:c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</x:row>
    <x:row r="21">
      <x:c r="A21" s="70" t="str">
        <x:v>Limitation</x:v>
      </x:c>
      <x:c r="B21" s="42" t="str">
        <x:v>All facts, evidence and results are simulated.</x:v>
      </x:c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</x:row>
  </x:sheetData>
  <x:mergeCells>
    <x:mergeCell ref="A1:L1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11:F12"/>
    <x:mergeCell ref="G10:L10"/>
    <x:mergeCell ref="G11:L12"/>
    <x:mergeCell ref="A14:F14"/>
  </x:mergeCells>
  <x:pageMargins left="0.7" right="0.7" top="0.75" bottom="0.75" header="0.3" footer="0.3"/>
  <x:drawing xmlns:r="http://schemas.openxmlformats.org/officeDocument/2006/relationships" r:id="R5e4dc96ddf5249c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0" hidden="0" customWidth="1"/>
    <x:col min="4" max="4" width="38" hidden="0" customWidth="1"/>
    <x:col min="5" max="5" width="24" hidden="0" customWidth="1"/>
    <x:col min="6" max="6" width="19" hidden="0" customWidth="1"/>
    <x:col min="7" max="7" width="34" hidden="0" customWidth="1"/>
    <x:col min="8" max="8" width="10" hidden="0" customWidth="1"/>
    <x:col min="9" max="9" width="10" hidden="0" customWidth="1"/>
    <x:col min="10" max="10" width="38" hidden="0" customWidth="1"/>
    <x:col min="11" max="11" width="22" hidden="0" customWidth="1"/>
    <x:col min="12" max="12" width="13" hidden="0" customWidth="1"/>
  </x:cols>
  <x:sheetData>
    <x:row r="1" ht="28" customHeight="1">
      <x:c r="A1" s="82" t="str">
        <x:v>Control Matrix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Control ID</x:v>
      </x:c>
      <x:c r="B3" s="37" t="str">
        <x:v>ISO 27001 Reference</x:v>
      </x:c>
      <x:c r="C3" s="37" t="str">
        <x:v>Control Objective</x:v>
      </x:c>
      <x:c r="D3" s="37" t="str">
        <x:v>Current-State Description</x:v>
      </x:c>
      <x:c r="E3" s="37" t="str">
        <x:v>Evidence Available</x:v>
      </x:c>
      <x:c r="F3" s="37" t="str">
        <x:v>Assessment</x:v>
      </x:c>
      <x:c r="G3" s="37" t="str">
        <x:v>Gap</x:v>
      </x:c>
      <x:c r="H3" s="37" t="str">
        <x:v>Risk ID</x:v>
      </x:c>
      <x:c r="I3" s="37" t="str">
        <x:v>Priority</x:v>
      </x:c>
      <x:c r="J3" s="37" t="str">
        <x:v>Recommended Action</x:v>
      </x:c>
      <x:c r="K3" s="37" t="str">
        <x:v>Owner</x:v>
      </x:c>
      <x:c r="L3" s="37" t="str">
        <x:v>Target Date</x:v>
      </x:c>
    </x:row>
    <x:row r="4">
      <x:c r="A4" s="42" t="str">
        <x:v>CTRL-01</x:v>
      </x:c>
      <x:c r="B4" s="42" t="str">
        <x:v>A.5.1</x:v>
      </x:c>
      <x:c r="C4" s="42" t="str">
        <x:v>Maintain approved information-security policies</x:v>
      </x:c>
      <x:c r="D4" s="42" t="str">
        <x:v>Policy exists but annual review evidence is not consistently retained</x:v>
      </x:c>
      <x:c r="E4" s="42" t="str">
        <x:v>Policy document</x:v>
      </x:c>
      <x:c r="F4" s="42" t="str">
        <x:v>Partially Effective</x:v>
      </x:c>
      <x:c r="G4" s="42" t="str">
        <x:v>Review/approval evidence incomplete</x:v>
      </x:c>
      <x:c r="H4" s="42" t="str">
        <x:v>R-01</x:v>
      </x:c>
      <x:c r="I4" s="42" t="str">
        <x:v>High</x:v>
      </x:c>
      <x:c r="J4" s="42" t="str">
        <x:v>Implement documented annual review and approval workflow</x:v>
      </x:c>
      <x:c r="K4" s="42" t="str">
        <x:v>ISMS Owner</x:v>
      </x:c>
      <x:c r="L4" s="42" t="str">
        <x:v>2026-10-31</x:v>
      </x:c>
    </x:row>
    <x:row r="5">
      <x:c r="A5" s="42" t="str">
        <x:v>CTRL-02</x:v>
      </x:c>
      <x:c r="B5" s="42" t="str">
        <x:v>A.5.7</x:v>
      </x:c>
      <x:c r="C5" s="42" t="str">
        <x:v>Identify and review relevant threat intelligence</x:v>
      </x:c>
      <x:c r="D5" s="42" t="str">
        <x:v>Threat-intelligence sources are informal and no periodic review record exists</x:v>
      </x:c>
      <x:c r="E5" s="42" t="str">
        <x:v>No formal review log</x:v>
      </x:c>
      <x:c r="F5" s="42" t="str">
        <x:v>Not Evidenced</x:v>
      </x:c>
      <x:c r="G5" s="42" t="str">
        <x:v>No documented threat-intelligence review process</x:v>
      </x:c>
      <x:c r="H5" s="42" t="str">
        <x:v>R-02</x:v>
      </x:c>
      <x:c r="I5" s="42" t="str">
        <x:v>Medium</x:v>
      </x:c>
      <x:c r="J5" s="42" t="str">
        <x:v>Define sources, owner, cadence and review record</x:v>
      </x:c>
      <x:c r="K5" s="42" t="str">
        <x:v>Security Lead</x:v>
      </x:c>
      <x:c r="L5" s="42" t="str">
        <x:v>2026-11-15</x:v>
      </x:c>
    </x:row>
    <x:row r="6">
      <x:c r="A6" s="42" t="str">
        <x:v>CTRL-03</x:v>
      </x:c>
      <x:c r="B6" s="42" t="str">
        <x:v>A.5.15</x:v>
      </x:c>
      <x:c r="C6" s="42" t="str">
        <x:v>Control access according to business and security requirements</x:v>
      </x:c>
      <x:c r="D6" s="42" t="str">
        <x:v>Central identity provider is used; access reviews are performed inconsistently</x:v>
      </x:c>
      <x:c r="E6" s="42" t="str">
        <x:v>Sample access export</x:v>
      </x:c>
      <x:c r="F6" s="42" t="str">
        <x:v>Partially Effective</x:v>
      </x:c>
      <x:c r="G6" s="42" t="str">
        <x:v>Quarterly recertification is not consistently evidenced</x:v>
      </x:c>
      <x:c r="H6" s="42" t="str">
        <x:v>R-03</x:v>
      </x:c>
      <x:c r="I6" s="42" t="str">
        <x:v>High</x:v>
      </x:c>
      <x:c r="J6" s="42" t="str">
        <x:v>Establish quarterly access certification and exception tracking</x:v>
      </x:c>
      <x:c r="K6" s="42" t="str">
        <x:v>IAM Owner</x:v>
      </x:c>
      <x:c r="L6" s="42" t="str">
        <x:v>2026-10-31</x:v>
      </x:c>
    </x:row>
    <x:row r="7">
      <x:c r="A7" s="42" t="str">
        <x:v>CTRL-04</x:v>
      </x:c>
      <x:c r="B7" s="42" t="str">
        <x:v>A.5.18</x:v>
      </x:c>
      <x:c r="C7" s="42" t="str">
        <x:v>Review and manage access rights</x:v>
      </x:c>
      <x:c r="D7" s="42" t="str">
        <x:v>Joiner/mover/leaver process exists but leaver evidence is fragmented</x:v>
      </x:c>
      <x:c r="E7" s="42" t="str">
        <x:v>Ticket samples</x:v>
      </x:c>
      <x:c r="F7" s="42" t="str">
        <x:v>Partially Effective</x:v>
      </x:c>
      <x:c r="G7" s="42" t="str">
        <x:v>Evidence is not centrally retained</x:v>
      </x:c>
      <x:c r="H7" s="42" t="str">
        <x:v>R-04</x:v>
      </x:c>
      <x:c r="I7" s="42" t="str">
        <x:v>High</x:v>
      </x:c>
      <x:c r="J7" s="42" t="str">
        <x:v>Centralize lifecycle tickets and access review evidence</x:v>
      </x:c>
      <x:c r="K7" s="42" t="str">
        <x:v>IT Operations</x:v>
      </x:c>
      <x:c r="L7" s="42" t="str">
        <x:v>2026-10-31</x:v>
      </x:c>
    </x:row>
    <x:row r="8">
      <x:c r="A8" s="42" t="str">
        <x:v>CTRL-05</x:v>
      </x:c>
      <x:c r="B8" s="42" t="str">
        <x:v>A.5.19</x:v>
      </x:c>
      <x:c r="C8" s="42" t="str">
        <x:v>Manage information security in supplier relationships</x:v>
      </x:c>
      <x:c r="D8" s="42" t="str">
        <x:v>Critical suppliers are listed but security due diligence varies by vendor</x:v>
      </x:c>
      <x:c r="E8" s="42" t="str">
        <x:v>Supplier list</x:v>
      </x:c>
      <x:c r="F8" s="42" t="str">
        <x:v>Partially Effective</x:v>
      </x:c>
      <x:c r="G8" s="42" t="str">
        <x:v>No consistent risk-based vendor assessment</x:v>
      </x:c>
      <x:c r="H8" s="42" t="str">
        <x:v>R-05</x:v>
      </x:c>
      <x:c r="I8" s="42" t="str">
        <x:v>High</x:v>
      </x:c>
      <x:c r="J8" s="42" t="str">
        <x:v>Implement TPRM tiering and minimum evidence requirements</x:v>
      </x:c>
      <x:c r="K8" s="42" t="str">
        <x:v>Procurement + Security</x:v>
      </x:c>
      <x:c r="L8" s="42" t="str">
        <x:v>2026-11-30</x:v>
      </x:c>
    </x:row>
    <x:row r="9">
      <x:c r="A9" s="42" t="str">
        <x:v>CTRL-06</x:v>
      </x:c>
      <x:c r="B9" s="42" t="str">
        <x:v>A.5.23</x:v>
      </x:c>
      <x:c r="C9" s="42" t="str">
        <x:v>Manage information security for cloud services</x:v>
      </x:c>
      <x:c r="D9" s="42" t="str">
        <x:v>Cloud responsibilities are understood but not formally mapped to controls</x:v>
      </x:c>
      <x:c r="E9" s="42" t="str">
        <x:v>Cloud architecture note</x:v>
      </x:c>
      <x:c r="F9" s="42" t="str">
        <x:v>Partially Effective</x:v>
      </x:c>
      <x:c r="G9" s="42" t="str">
        <x:v>Shared-responsibility control mapping incomplete</x:v>
      </x:c>
      <x:c r="H9" s="42" t="str">
        <x:v>R-06</x:v>
      </x:c>
      <x:c r="I9" s="42" t="str">
        <x:v>High</x:v>
      </x:c>
      <x:c r="J9" s="42" t="str">
        <x:v>Create cloud control matrix and ownership model</x:v>
      </x:c>
      <x:c r="K9" s="42" t="str">
        <x:v>Cloud Owner</x:v>
      </x:c>
      <x:c r="L9" s="42" t="str">
        <x:v>2026-11-30</x:v>
      </x:c>
    </x:row>
    <x:row r="10">
      <x:c r="A10" s="42" t="str">
        <x:v>CTRL-07</x:v>
      </x:c>
      <x:c r="B10" s="42" t="str">
        <x:v>A.5.24</x:v>
      </x:c>
      <x:c r="C10" s="42" t="str">
        <x:v>Plan and prepare for incident management</x:v>
      </x:c>
      <x:c r="D10" s="42" t="str">
        <x:v>Incident response procedure exists</x:v>
      </x:c>
      <x:c r="E10" s="42" t="str">
        <x:v>IR procedure</x:v>
      </x:c>
      <x:c r="F10" s="42" t="str">
        <x:v>Effective</x:v>
      </x:c>
      <x:c r="G10" s="42" t="str">
        <x:v>Tabletop exercise evidence is limited</x:v>
      </x:c>
      <x:c r="H10" s="42" t="str">
        <x:v>R-07</x:v>
      </x:c>
      <x:c r="I10" s="42" t="str">
        <x:v>Medium</x:v>
      </x:c>
      <x:c r="J10" s="42" t="str">
        <x:v>Run and document an incident-response tabletop</x:v>
      </x:c>
      <x:c r="K10" s="42" t="str">
        <x:v>Security Lead</x:v>
      </x:c>
      <x:c r="L10" s="42" t="str">
        <x:v>2026-12-15</x:v>
      </x:c>
    </x:row>
    <x:row r="11">
      <x:c r="A11" s="42" t="str">
        <x:v>CTRL-08</x:v>
      </x:c>
      <x:c r="B11" s="42" t="str">
        <x:v>A.5.30</x:v>
      </x:c>
      <x:c r="C11" s="42" t="str">
        <x:v>ICT readiness for business continuity</x:v>
      </x:c>
      <x:c r="D11" s="42" t="str">
        <x:v>Backups are configured; recovery objectives are not consistently documented</x:v>
      </x:c>
      <x:c r="E11" s="42" t="str">
        <x:v>Backup configuration</x:v>
      </x:c>
      <x:c r="F11" s="42" t="str">
        <x:v>Partially Effective</x:v>
      </x:c>
      <x:c r="G11" s="42" t="str">
        <x:v>Restore-test evidence and RTO/RPO mapping incomplete</x:v>
      </x:c>
      <x:c r="H11" s="42" t="str">
        <x:v>R-08</x:v>
      </x:c>
      <x:c r="I11" s="42" t="str">
        <x:v>High</x:v>
      </x:c>
      <x:c r="J11" s="42" t="str">
        <x:v>Document RTO/RPO and conduct restore testing</x:v>
      </x:c>
      <x:c r="K11" s="42" t="str">
        <x:v>BCM Owner</x:v>
      </x:c>
      <x:c r="L11" s="42" t="str">
        <x:v>2026-11-30</x:v>
      </x:c>
    </x:row>
    <x:row r="12">
      <x:c r="A12" s="42" t="str">
        <x:v>CTRL-09</x:v>
      </x:c>
      <x:c r="B12" s="42" t="str">
        <x:v>A.6.3</x:v>
      </x:c>
      <x:c r="C12" s="42" t="str">
        <x:v>Security awareness and training</x:v>
      </x:c>
      <x:c r="D12" s="42" t="str">
        <x:v>Annual security training is provided</x:v>
      </x:c>
      <x:c r="E12" s="42" t="str">
        <x:v>Training completion report</x:v>
      </x:c>
      <x:c r="F12" s="42" t="str">
        <x:v>Effective</x:v>
      </x:c>
      <x:c r="G12" s="42" t="str">
        <x:v>Role-specific training is limited</x:v>
      </x:c>
      <x:c r="H12" s="42" t="str">
        <x:v>R-09</x:v>
      </x:c>
      <x:c r="I12" s="42" t="str">
        <x:v>Medium</x:v>
      </x:c>
      <x:c r="J12" s="42" t="str">
        <x:v>Add role-based awareness for privileged and technical users</x:v>
      </x:c>
      <x:c r="K12" s="42" t="str">
        <x:v>HR + Security</x:v>
      </x:c>
      <x:c r="L12" s="42" t="str">
        <x:v>2026-12-15</x:v>
      </x:c>
    </x:row>
    <x:row r="13">
      <x:c r="A13" s="42" t="str">
        <x:v>CTRL-10</x:v>
      </x:c>
      <x:c r="B13" s="42" t="str">
        <x:v>A.8.8</x:v>
      </x:c>
      <x:c r="C13" s="42" t="str">
        <x:v>Manage technical vulnerabilities</x:v>
      </x:c>
      <x:c r="D13" s="42" t="str">
        <x:v>Vulnerability scanning is performed</x:v>
      </x:c>
      <x:c r="E13" s="42" t="str">
        <x:v>Scan summary</x:v>
      </x:c>
      <x:c r="F13" s="42" t="str">
        <x:v>Partially Effective</x:v>
      </x:c>
      <x:c r="G13" s="42" t="str">
        <x:v>Risk acceptance and remediation ageing are inconsistently documented</x:v>
      </x:c>
      <x:c r="H13" s="42" t="str">
        <x:v>R-10</x:v>
      </x:c>
      <x:c r="I13" s="42" t="str">
        <x:v>High</x:v>
      </x:c>
      <x:c r="J13" s="42" t="str">
        <x:v>Introduce vulnerability SLA, exception and ageing tracking</x:v>
      </x:c>
      <x:c r="K13" s="42" t="str">
        <x:v>Vulnerability Owner</x:v>
      </x:c>
      <x:c r="L13" s="42" t="str">
        <x:v>2026-10-31</x:v>
      </x:c>
    </x:row>
    <x:row r="14">
      <x:c r="A14" s="42" t="str">
        <x:v>CTRL-11</x:v>
      </x:c>
      <x:c r="B14" s="42" t="str">
        <x:v>A.8.15</x:v>
      </x:c>
      <x:c r="C14" s="42" t="str">
        <x:v>Log security-relevant events</x:v>
      </x:c>
      <x:c r="D14" s="42" t="str">
        <x:v>Central logging exists for selected systems</x:v>
      </x:c>
      <x:c r="E14" s="42" t="str">
        <x:v>SIEM sample</x:v>
      </x:c>
      <x:c r="F14" s="42" t="str">
        <x:v>Partially Effective</x:v>
      </x:c>
      <x:c r="G14" s="42" t="str">
        <x:v>Coverage and retention requirements are not formally mapped</x:v>
      </x:c>
      <x:c r="H14" s="42" t="str">
        <x:v>R-11</x:v>
      </x:c>
      <x:c r="I14" s="42" t="str">
        <x:v>Medium</x:v>
      </x:c>
      <x:c r="J14" s="42" t="str">
        <x:v>Create logging coverage matrix and retention standard</x:v>
      </x:c>
      <x:c r="K14" s="42" t="str">
        <x:v>Security Operations</x:v>
      </x:c>
      <x:c r="L14" s="42" t="str">
        <x:v>2026-11-30</x:v>
      </x:c>
    </x:row>
    <x:row r="15">
      <x:c r="A15" s="42" t="str">
        <x:v>CTRL-12</x:v>
      </x:c>
      <x:c r="B15" s="42" t="str">
        <x:v>A.8.16</x:v>
      </x:c>
      <x:c r="C15" s="42" t="str">
        <x:v>Monitor systems for anomalous activity</x:v>
      </x:c>
      <x:c r="D15" s="42" t="str">
        <x:v>SIEM alerts are monitored during business hours</x:v>
      </x:c>
      <x:c r="E15" s="42" t="str">
        <x:v>Alert sample</x:v>
      </x:c>
      <x:c r="F15" s="42" t="str">
        <x:v>Partially Effective</x:v>
      </x:c>
      <x:c r="G15" s="42" t="str">
        <x:v>After-hours escalation and monitoring coverage need documentation</x:v>
      </x:c>
      <x:c r="H15" s="42" t="str">
        <x:v>R-12</x:v>
      </x:c>
      <x:c r="I15" s="42" t="str">
        <x:v>Medium</x:v>
      </x:c>
      <x:c r="J15" s="42" t="str">
        <x:v>Define monitoring coverage and escalation responsibilities</x:v>
      </x:c>
      <x:c r="K15" s="42" t="str">
        <x:v>Security Operations</x:v>
      </x:c>
      <x:c r="L15" s="42" t="str">
        <x:v>2026-11-30</x:v>
      </x:c>
    </x:row>
    <x:row r="16">
      <x:c r="A16" s="42" t="str">
        <x:v>CTRL-13</x:v>
      </x:c>
      <x:c r="B16" s="42" t="str">
        <x:v>A.8.24</x:v>
      </x:c>
      <x:c r="C16" s="42" t="str">
        <x:v>Use cryptography appropriately</x:v>
      </x:c>
      <x:c r="D16" s="42" t="str">
        <x:v>Encryption is enabled for cloud storage and transport</x:v>
      </x:c>
      <x:c r="E16" s="42" t="str">
        <x:v>Cloud configuration sample</x:v>
      </x:c>
      <x:c r="F16" s="42" t="str">
        <x:v>Effective</x:v>
      </x:c>
      <x:c r="G16" s="42" t="str">
        <x:v>Key-management documentation needs improvement</x:v>
      </x:c>
      <x:c r="H16" s="42" t="str">
        <x:v>R-13</x:v>
      </x:c>
      <x:c r="I16" s="42" t="str">
        <x:v>Low</x:v>
      </x:c>
      <x:c r="J16" s="42" t="str">
        <x:v>Document cryptographic standards and key ownership</x:v>
      </x:c>
      <x:c r="K16" s="42" t="str">
        <x:v>Cloud Owner</x:v>
      </x:c>
      <x:c r="L16" s="42" t="str">
        <x:v>2026-12-15</x:v>
      </x:c>
    </x:row>
    <x:row r="17">
      <x:c r="A17" s="42" t="str">
        <x:v>CTRL-14</x:v>
      </x:c>
      <x:c r="B17" s="42" t="str">
        <x:v>A.8.32</x:v>
      </x:c>
      <x:c r="C17" s="42" t="str">
        <x:v>Manage changes</x:v>
      </x:c>
      <x:c r="D17" s="42" t="str">
        <x:v>Production changes require approval through ticketing</x:v>
      </x:c>
      <x:c r="E17" s="42" t="str">
        <x:v>Change tickets</x:v>
      </x:c>
      <x:c r="F17" s="42" t="str">
        <x:v>Effective</x:v>
      </x:c>
      <x:c r="G17" s="42" t="str">
        <x:v>Emergency-change evidence is not consistently categorized</x:v>
      </x:c>
      <x:c r="H17" s="42" t="str">
        <x:v>R-14</x:v>
      </x:c>
      <x:c r="I17" s="42" t="str">
        <x:v>Medium</x:v>
      </x:c>
      <x:c r="J17" s="42" t="str">
        <x:v>Add emergency-change classification and retrospective review</x:v>
      </x:c>
      <x:c r="K17" s="42" t="str">
        <x:v>IT Operations</x:v>
      </x:c>
      <x:c r="L17" s="42" t="str">
        <x:v>2026-11-15</x:v>
      </x:c>
    </x:row>
    <x:row r="18">
      <x:c r="A18" s="42" t="str">
        <x:v>CTRL-15</x:v>
      </x:c>
      <x:c r="B18" s="42" t="str">
        <x:v>A.8.34</x:v>
      </x:c>
      <x:c r="C18" s="42" t="str">
        <x:v>Protect information during audit testing</x:v>
      </x:c>
      <x:c r="D18" s="42" t="str">
        <x:v>Audit access is granted through temporary accounts where feasible</x:v>
      </x:c>
      <x:c r="E18" s="42" t="str">
        <x:v>Access tickets</x:v>
      </x:c>
      <x:c r="F18" s="42" t="str">
        <x:v>Partially Effective</x:v>
      </x:c>
      <x:c r="G18" s="42" t="str">
        <x:v>Temporary-access expiry evidence is inconsistent</x:v>
      </x:c>
      <x:c r="H18" s="42" t="str">
        <x:v>R-15</x:v>
      </x:c>
      <x:c r="I18" s="42" t="str">
        <x:v>Medium</x:v>
      </x:c>
      <x:c r="J18" s="42" t="str">
        <x:v>Automate or document temporary access expiry and review</x:v>
      </x:c>
      <x:c r="K18" s="42" t="str">
        <x:v>IAM Owner</x:v>
      </x:c>
      <x:c r="L18" s="42" t="str">
        <x:v>2026-11-15</x:v>
      </x:c>
    </x:row>
  </x:sheetData>
  <x:mergeCells>
    <x:mergeCell ref="A1:L1"/>
  </x:mergeCells>
  <x:conditionalFormatting sqref="F4:F18">
    <x:cfRule type="expression" dxfId="0" priority="1">
      <x:formula>F4="Effective"</x:formula>
    </x:cfRule>
    <x:cfRule type="expression" dxfId="1" priority="2">
      <x:formula>F4="Partially Effective"</x:formula>
    </x:cfRule>
    <x:cfRule type="expression" dxfId="2" priority="3">
      <x:formula>F4="Not Evidenced"</x:formula>
    </x:cfRule>
  </x:conditionalFormatting>
  <x:conditionalFormatting sqref="I4:I18">
    <x:cfRule type="expression" dxfId="3" priority="4">
      <x:formula>I4="High"</x:formula>
    </x:cfRule>
    <x:cfRule type="expression" dxfId="4" priority="5">
      <x:formula>I4="Medium"</x:formula>
    </x:cfRule>
    <x:cfRule type="expression" dxfId="5" priority="6">
      <x:formula>I4="Low"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4641e662d449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30" hidden="0" customWidth="1"/>
    <x:col min="5" max="5" width="32" hidden="0" customWidth="1"/>
    <x:col min="6" max="6" width="11" hidden="0" customWidth="1"/>
    <x:col min="7" max="7" width="10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12" hidden="0" customWidth="1"/>
    <x:col min="13" max="13" width="22" hidden="0" customWidth="1"/>
    <x:col min="14" max="14" width="13" hidden="0" customWidth="1"/>
    <x:col min="15" max="15" width="12" hidden="0" customWidth="1"/>
  </x:cols>
  <x:sheetData>
    <x:row r="1" ht="28" customHeight="1">
      <x:c r="A1" s="82" t="str">
        <x:v>Risk Register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Risk ID</x:v>
      </x:c>
      <x:c r="B3" s="37" t="str">
        <x:v>Risk Statement</x:v>
      </x:c>
      <x:c r="C3" s="37" t="str">
        <x:v>Asset / Process</x:v>
      </x:c>
      <x:c r="D3" s="37" t="str">
        <x:v>Threat Scenario</x:v>
      </x:c>
      <x:c r="E3" s="37" t="str">
        <x:v>Weakness</x:v>
      </x:c>
      <x:c r="F3" s="37" t="str">
        <x:v>Likelihood</x:v>
      </x:c>
      <x:c r="G3" s="37" t="str">
        <x:v>Impact</x:v>
      </x:c>
      <x:c r="H3" s="37" t="str">
        <x:v>Inherent Risk</x:v>
      </x:c>
      <x:c r="I3" s="37" t="str">
        <x:v>Treatment</x:v>
      </x:c>
      <x:c r="J3" s="37" t="str">
        <x:v>Residual Likelihood</x:v>
      </x:c>
      <x:c r="K3" s="37" t="str">
        <x:v>Residual Impact</x:v>
      </x:c>
      <x:c r="L3" s="37" t="str">
        <x:v>Residual Risk</x:v>
      </x:c>
      <x:c r="M3" s="37" t="str">
        <x:v>Owner</x:v>
      </x:c>
      <x:c r="N3" s="37" t="str">
        <x:v>Due Date</x:v>
      </x:c>
      <x:c r="O3" s="37" t="str">
        <x:v>Status</x:v>
      </x:c>
    </x:row>
    <x:row r="4">
      <x:c r="A4" s="42" t="str">
        <x:v>R-01</x:v>
      </x:c>
      <x:c r="B4" s="42" t="str">
        <x:v>Security policies may not remain current or formally approved</x:v>
      </x:c>
      <x:c r="C4" s="42" t="str">
        <x:v>ISMS governance</x:v>
      </x:c>
      <x:c r="D4" s="42" t="str">
        <x:v>Outdated policy is relied upon</x:v>
      </x:c>
      <x:c r="E4" s="42" t="str">
        <x:v>Review/approval evidence is inconsistent</x:v>
      </x:c>
      <x:c r="F4" s="42" t="n">
        <x:v>3</x:v>
      </x:c>
      <x:c r="G4" s="42" t="n">
        <x:v>4</x:v>
      </x:c>
      <x:c r="H4" s="42" t="n">
        <x:f>F4*G4</x:f>
        <x:v>12</x:v>
      </x:c>
      <x:c r="I4" s="42" t="str">
        <x:v>Mitigate</x:v>
      </x:c>
      <x:c r="J4" s="42" t="n">
        <x:v>2</x:v>
      </x:c>
      <x:c r="K4" s="42" t="n">
        <x:v>4</x:v>
      </x:c>
      <x:c r="L4" s="42" t="n">
        <x:f>J4*K4</x:f>
        <x:v>8</x:v>
      </x:c>
      <x:c r="M4" s="42" t="str">
        <x:v>ISMS Owner</x:v>
      </x:c>
      <x:c r="N4" s="62" t="str">
        <x:v>2026-10-31</x:v>
      </x:c>
      <x:c r="O4" s="42" t="str">
        <x:v>Open</x:v>
      </x:c>
    </x:row>
    <x:row r="5">
      <x:c r="A5" s="42" t="str">
        <x:v>R-02</x:v>
      </x:c>
      <x:c r="B5" s="42" t="str">
        <x:v>Emerging threats may not be identified and considered in time</x:v>
      </x:c>
      <x:c r="C5" s="42" t="str">
        <x:v>Threat intelligence</x:v>
      </x:c>
      <x:c r="D5" s="42" t="str">
        <x:v>Relevant threat information is missed</x:v>
      </x:c>
      <x:c r="E5" s="42" t="str">
        <x:v>No formal threat-intelligence review cadence</x:v>
      </x:c>
      <x:c r="F5" s="42" t="n">
        <x:v>3</x:v>
      </x:c>
      <x:c r="G5" s="42" t="n">
        <x:v>4</x:v>
      </x:c>
      <x:c r="H5" s="42" t="n">
        <x:f>F5*G5</x:f>
        <x:v>12</x:v>
      </x:c>
      <x:c r="I5" s="42" t="str">
        <x:v>Mitigate</x:v>
      </x:c>
      <x:c r="J5" s="42" t="n">
        <x:v>2</x:v>
      </x:c>
      <x:c r="K5" s="42" t="n">
        <x:v>3</x:v>
      </x:c>
      <x:c r="L5" s="42" t="n">
        <x:f>J5*K5</x:f>
        <x:v>6</x:v>
      </x:c>
      <x:c r="M5" s="42" t="str">
        <x:v>Security Lead</x:v>
      </x:c>
      <x:c r="N5" s="62" t="str">
        <x:v>2026-11-15</x:v>
      </x:c>
      <x:c r="O5" s="42" t="str">
        <x:v>Open</x:v>
      </x:c>
    </x:row>
    <x:row r="6">
      <x:c r="A6" s="42" t="str">
        <x:v>R-03</x:v>
      </x:c>
      <x:c r="B6" s="42" t="str">
        <x:v>Excessive access may remain active after business need changes</x:v>
      </x:c>
      <x:c r="C6" s="42" t="str">
        <x:v>Identity and access management</x:v>
      </x:c>
      <x:c r="D6" s="42" t="str">
        <x:v>Compromised or inappropriate account is used</x:v>
      </x:c>
      <x:c r="E6" s="42" t="str">
        <x:v>Quarterly access certification is inconsistent</x:v>
      </x:c>
      <x:c r="F6" s="42" t="n">
        <x:v>3</x:v>
      </x:c>
      <x:c r="G6" s="42" t="n">
        <x:v>5</x:v>
      </x:c>
      <x:c r="H6" s="42" t="n">
        <x:f>F6*G6</x:f>
        <x:v>15</x:v>
      </x:c>
      <x:c r="I6" s="42" t="str">
        <x:v>Mitigate</x:v>
      </x:c>
      <x:c r="J6" s="42" t="n">
        <x:v>2</x:v>
      </x:c>
      <x:c r="K6" s="42" t="n">
        <x:v>4</x:v>
      </x:c>
      <x:c r="L6" s="42" t="n">
        <x:f>J6*K6</x:f>
        <x:v>8</x:v>
      </x:c>
      <x:c r="M6" s="42" t="str">
        <x:v>IAM Owner</x:v>
      </x:c>
      <x:c r="N6" s="62" t="str">
        <x:v>2026-10-31</x:v>
      </x:c>
      <x:c r="O6" s="42" t="str">
        <x:v>Open</x:v>
      </x:c>
    </x:row>
    <x:row r="7">
      <x:c r="A7" s="42" t="str">
        <x:v>R-04</x:v>
      </x:c>
      <x:c r="B7" s="42" t="str">
        <x:v>Leaver access may not be removed consistently</x:v>
      </x:c>
      <x:c r="C7" s="42" t="str">
        <x:v>Joiner/mover/leaver process</x:v>
      </x:c>
      <x:c r="D7" s="42" t="str">
        <x:v>Former user retains access</x:v>
      </x:c>
      <x:c r="E7" s="42" t="str">
        <x:v>Offboarding evidence is fragmented</x:v>
      </x:c>
      <x:c r="F7" s="42" t="n">
        <x:v>3</x:v>
      </x:c>
      <x:c r="G7" s="42" t="n">
        <x:v>5</x:v>
      </x:c>
      <x:c r="H7" s="42" t="n">
        <x:f>F7*G7</x:f>
        <x:v>15</x:v>
      </x:c>
      <x:c r="I7" s="42" t="str">
        <x:v>Mitigate</x:v>
      </x:c>
      <x:c r="J7" s="42" t="n">
        <x:v>1</x:v>
      </x:c>
      <x:c r="K7" s="42" t="n">
        <x:v>5</x:v>
      </x:c>
      <x:c r="L7" s="42" t="n">
        <x:f>J7*K7</x:f>
        <x:v>5</x:v>
      </x:c>
      <x:c r="M7" s="42" t="str">
        <x:v>IT Operations</x:v>
      </x:c>
      <x:c r="N7" s="62" t="str">
        <x:v>2026-10-31</x:v>
      </x:c>
      <x:c r="O7" s="42" t="str">
        <x:v>Open</x:v>
      </x:c>
    </x:row>
    <x:row r="8">
      <x:c r="A8" s="42" t="str">
        <x:v>R-05</x:v>
      </x:c>
      <x:c r="B8" s="42" t="str">
        <x:v>A critical supplier may introduce security or privacy exposure</x:v>
      </x:c>
      <x:c r="C8" s="42" t="str">
        <x:v>Third-party risk</x:v>
      </x:c>
      <x:c r="D8" s="42" t="str">
        <x:v>Vendor compromise affects Northstar or customers</x:v>
      </x:c>
      <x:c r="E8" s="42" t="str">
        <x:v>Due diligence is not risk-tiered</x:v>
      </x:c>
      <x:c r="F8" s="42" t="n">
        <x:v>3</x:v>
      </x:c>
      <x:c r="G8" s="42" t="n">
        <x:v>5</x:v>
      </x:c>
      <x:c r="H8" s="42" t="n">
        <x:f>F8*G8</x:f>
        <x:v>15</x:v>
      </x:c>
      <x:c r="I8" s="42" t="str">
        <x:v>Mitigate</x:v>
      </x:c>
      <x:c r="J8" s="42" t="n">
        <x:v>2</x:v>
      </x:c>
      <x:c r="K8" s="42" t="n">
        <x:v>4</x:v>
      </x:c>
      <x:c r="L8" s="42" t="n">
        <x:f>J8*K8</x:f>
        <x:v>8</x:v>
      </x:c>
      <x:c r="M8" s="42" t="str">
        <x:v>Procurement + Security</x:v>
      </x:c>
      <x:c r="N8" s="62" t="str">
        <x:v>2026-11-30</x:v>
      </x:c>
      <x:c r="O8" s="42" t="str">
        <x:v>Open</x:v>
      </x:c>
    </x:row>
    <x:row r="9">
      <x:c r="A9" s="42" t="str">
        <x:v>R-06</x:v>
      </x:c>
      <x:c r="B9" s="42" t="str">
        <x:v>Cloud configuration or responsibility gaps may cause security exposure</x:v>
      </x:c>
      <x:c r="C9" s="42" t="str">
        <x:v>Cloud services</x:v>
      </x:c>
      <x:c r="D9" s="42" t="str">
        <x:v>Cloud service is misconfigured or control ownership is unclear</x:v>
      </x:c>
      <x:c r="E9" s="42" t="str">
        <x:v>Shared-responsibility mapping incomplete</x:v>
      </x:c>
      <x:c r="F9" s="42" t="n">
        <x:v>3</x:v>
      </x:c>
      <x:c r="G9" s="42" t="n">
        <x:v>5</x:v>
      </x:c>
      <x:c r="H9" s="42" t="n">
        <x:f>F9*G9</x:f>
        <x:v>15</x:v>
      </x:c>
      <x:c r="I9" s="42" t="str">
        <x:v>Mitigate</x:v>
      </x:c>
      <x:c r="J9" s="42" t="n">
        <x:v>2</x:v>
      </x:c>
      <x:c r="K9" s="42" t="n">
        <x:v>4</x:v>
      </x:c>
      <x:c r="L9" s="42" t="n">
        <x:f>J9*K9</x:f>
        <x:v>8</x:v>
      </x:c>
      <x:c r="M9" s="42" t="str">
        <x:v>Cloud Owner</x:v>
      </x:c>
      <x:c r="N9" s="62" t="str">
        <x:v>2026-11-30</x:v>
      </x:c>
      <x:c r="O9" s="42" t="str">
        <x:v>Open</x:v>
      </x:c>
    </x:row>
    <x:row r="10">
      <x:c r="A10" s="42" t="str">
        <x:v>R-07</x:v>
      </x:c>
      <x:c r="B10" s="42" t="str">
        <x:v>Incident response may be slower or inconsistent during a major event</x:v>
      </x:c>
      <x:c r="C10" s="42" t="str">
        <x:v>Incident management</x:v>
      </x:c>
      <x:c r="D10" s="42" t="str">
        <x:v>Security incident escalates without practiced response</x:v>
      </x:c>
      <x:c r="E10" s="42" t="str">
        <x:v>Limited tabletop evidence</x:v>
      </x:c>
      <x:c r="F10" s="42" t="n">
        <x:v>2</x:v>
      </x:c>
      <x:c r="G10" s="42" t="n">
        <x:v>5</x:v>
      </x:c>
      <x:c r="H10" s="42" t="n">
        <x:f>F10*G10</x:f>
        <x:v>10</x:v>
      </x:c>
      <x:c r="I10" s="42" t="str">
        <x:v>Mitigate</x:v>
      </x:c>
      <x:c r="J10" s="42" t="n">
        <x:v>1</x:v>
      </x:c>
      <x:c r="K10" s="42" t="n">
        <x:v>4</x:v>
      </x:c>
      <x:c r="L10" s="42" t="n">
        <x:f>J10*K10</x:f>
        <x:v>4</x:v>
      </x:c>
      <x:c r="M10" s="42" t="str">
        <x:v>Security Lead</x:v>
      </x:c>
      <x:c r="N10" s="62" t="str">
        <x:v>2026-12-15</x:v>
      </x:c>
      <x:c r="O10" s="42" t="str">
        <x:v>Open</x:v>
      </x:c>
    </x:row>
    <x:row r="11">
      <x:c r="A11" s="42" t="str">
        <x:v>R-08</x:v>
      </x:c>
      <x:c r="B11" s="42" t="str">
        <x:v>Recovery may not meet business expectations after a major outage</x:v>
      </x:c>
      <x:c r="C11" s="42" t="str">
        <x:v>BCM/ICT readiness</x:v>
      </x:c>
      <x:c r="D11" s="42" t="str">
        <x:v>Extended service outage or data loss</x:v>
      </x:c>
      <x:c r="E11" s="42" t="str">
        <x:v>Restore testing and RTO/RPO mapping incomplete</x:v>
      </x:c>
      <x:c r="F11" s="42" t="n">
        <x:v>3</x:v>
      </x:c>
      <x:c r="G11" s="42" t="n">
        <x:v>5</x:v>
      </x:c>
      <x:c r="H11" s="42" t="n">
        <x:f>F11*G11</x:f>
        <x:v>15</x:v>
      </x:c>
      <x:c r="I11" s="42" t="str">
        <x:v>Mitigate</x:v>
      </x:c>
      <x:c r="J11" s="42" t="n">
        <x:v>2</x:v>
      </x:c>
      <x:c r="K11" s="42" t="n">
        <x:v>4</x:v>
      </x:c>
      <x:c r="L11" s="42" t="n">
        <x:f>J11*K11</x:f>
        <x:v>8</x:v>
      </x:c>
      <x:c r="M11" s="42" t="str">
        <x:v>BCM Owner</x:v>
      </x:c>
      <x:c r="N11" s="62" t="str">
        <x:v>2026-11-30</x:v>
      </x:c>
      <x:c r="O11" s="42" t="str">
        <x:v>Open</x:v>
      </x:c>
    </x:row>
    <x:row r="12">
      <x:c r="A12" s="42" t="str">
        <x:v>R-09</x:v>
      </x:c>
      <x:c r="B12" s="42" t="str">
        <x:v>Users may not recognize role-specific security threats</x:v>
      </x:c>
      <x:c r="C12" s="42" t="str">
        <x:v>Security awareness</x:v>
      </x:c>
      <x:c r="D12" s="42" t="str">
        <x:v>User makes unsafe decision</x:v>
      </x:c>
      <x:c r="E12" s="42" t="str">
        <x:v>Training is largely generic</x:v>
      </x:c>
      <x:c r="F12" s="42" t="n">
        <x:v>3</x:v>
      </x:c>
      <x:c r="G12" s="42" t="n">
        <x:v>3</x:v>
      </x:c>
      <x:c r="H12" s="42" t="n">
        <x:f>F12*G12</x:f>
        <x:v>9</x:v>
      </x:c>
      <x:c r="I12" s="42" t="str">
        <x:v>Mitigate</x:v>
      </x:c>
      <x:c r="J12" s="42" t="n">
        <x:v>2</x:v>
      </x:c>
      <x:c r="K12" s="42" t="n">
        <x:v>2</x:v>
      </x:c>
      <x:c r="L12" s="42" t="n">
        <x:f>J12*K12</x:f>
        <x:v>4</x:v>
      </x:c>
      <x:c r="M12" s="42" t="str">
        <x:v>HR + Security</x:v>
      </x:c>
      <x:c r="N12" s="62" t="str">
        <x:v>2026-12-15</x:v>
      </x:c>
      <x:c r="O12" s="42" t="str">
        <x:v>Open</x:v>
      </x:c>
    </x:row>
    <x:row r="13">
      <x:c r="A13" s="42" t="str">
        <x:v>R-10</x:v>
      </x:c>
      <x:c r="B13" s="42" t="str">
        <x:v>Known vulnerabilities may remain open beyond acceptable risk tolerance</x:v>
      </x:c>
      <x:c r="C13" s="42" t="str">
        <x:v>Vulnerability management</x:v>
      </x:c>
      <x:c r="D13" s="42" t="str">
        <x:v>Known vulnerability is exploited</x:v>
      </x:c>
      <x:c r="E13" s="42" t="str">
        <x:v>Remediation ageing and exceptions inconsistent</x:v>
      </x:c>
      <x:c r="F13" s="42" t="n">
        <x:v>4</x:v>
      </x:c>
      <x:c r="G13" s="42" t="n">
        <x:v>5</x:v>
      </x:c>
      <x:c r="H13" s="42" t="n">
        <x:f>F13*G13</x:f>
        <x:v>20</x:v>
      </x:c>
      <x:c r="I13" s="42" t="str">
        <x:v>Mitigate</x:v>
      </x:c>
      <x:c r="J13" s="42" t="n">
        <x:v>2</x:v>
      </x:c>
      <x:c r="K13" s="42" t="n">
        <x:v>4</x:v>
      </x:c>
      <x:c r="L13" s="42" t="n">
        <x:f>J13*K13</x:f>
        <x:v>8</x:v>
      </x:c>
      <x:c r="M13" s="42" t="str">
        <x:v>Vulnerability Owner</x:v>
      </x:c>
      <x:c r="N13" s="62" t="str">
        <x:v>2026-10-31</x:v>
      </x:c>
      <x:c r="O13" s="42" t="str">
        <x:v>Open</x:v>
      </x:c>
    </x:row>
    <x:row r="14">
      <x:c r="A14" s="42" t="str">
        <x:v>R-11</x:v>
      </x:c>
      <x:c r="B14" s="42" t="str">
        <x:v>Insufficient log coverage may delay detection or investigation</x:v>
      </x:c>
      <x:c r="C14" s="42" t="str">
        <x:v>Security logging</x:v>
      </x:c>
      <x:c r="D14" s="42" t="str">
        <x:v>Relevant security event is not captured</x:v>
      </x:c>
      <x:c r="E14" s="42" t="str">
        <x:v>Logging coverage not formally mapped</x:v>
      </x:c>
      <x:c r="F14" s="42" t="n">
        <x:v>3</x:v>
      </x:c>
      <x:c r="G14" s="42" t="n">
        <x:v>5</x:v>
      </x:c>
      <x:c r="H14" s="42" t="n">
        <x:f>F14*G14</x:f>
        <x:v>15</x:v>
      </x:c>
      <x:c r="I14" s="42" t="str">
        <x:v>Mitigate</x:v>
      </x:c>
      <x:c r="J14" s="42" t="n">
        <x:v>2</x:v>
      </x:c>
      <x:c r="K14" s="42" t="n">
        <x:v>4</x:v>
      </x:c>
      <x:c r="L14" s="42" t="n">
        <x:f>J14*K14</x:f>
        <x:v>8</x:v>
      </x:c>
      <x:c r="M14" s="42" t="str">
        <x:v>Security Operations</x:v>
      </x:c>
      <x:c r="N14" s="62" t="str">
        <x:v>2026-11-30</x:v>
      </x:c>
      <x:c r="O14" s="42" t="str">
        <x:v>Open</x:v>
      </x:c>
    </x:row>
    <x:row r="15">
      <x:c r="A15" s="42" t="str">
        <x:v>R-12</x:v>
      </x:c>
      <x:c r="B15" s="42" t="str">
        <x:v>Monitoring gaps may delay escalation of anomalous activity</x:v>
      </x:c>
      <x:c r="C15" s="42" t="str">
        <x:v>Security monitoring</x:v>
      </x:c>
      <x:c r="D15" s="42" t="str">
        <x:v>Alert is missed outside coverage</x:v>
      </x:c>
      <x:c r="E15" s="42" t="str">
        <x:v>After-hours escalation not fully documented</x:v>
      </x:c>
      <x:c r="F15" s="42" t="n">
        <x:v>3</x:v>
      </x:c>
      <x:c r="G15" s="42" t="n">
        <x:v>4</x:v>
      </x:c>
      <x:c r="H15" s="42" t="n">
        <x:f>F15*G15</x:f>
        <x:v>12</x:v>
      </x:c>
      <x:c r="I15" s="42" t="str">
        <x:v>Mitigate</x:v>
      </x:c>
      <x:c r="J15" s="42" t="n">
        <x:v>2</x:v>
      </x:c>
      <x:c r="K15" s="42" t="n">
        <x:v>3</x:v>
      </x:c>
      <x:c r="L15" s="42" t="n">
        <x:f>J15*K15</x:f>
        <x:v>6</x:v>
      </x:c>
      <x:c r="M15" s="42" t="str">
        <x:v>Security Operations</x:v>
      </x:c>
      <x:c r="N15" s="62" t="str">
        <x:v>2026-11-30</x:v>
      </x:c>
      <x:c r="O15" s="42" t="str">
        <x:v>Open</x:v>
      </x:c>
    </x:row>
    <x:row r="16">
      <x:c r="A16" s="42" t="str">
        <x:v>R-13</x:v>
      </x:c>
      <x:c r="B16" s="42" t="str">
        <x:v>Weak cryptographic governance may create inconsistent protection</x:v>
      </x:c>
      <x:c r="C16" s="42" t="str">
        <x:v>Encryption/key management</x:v>
      </x:c>
      <x:c r="D16" s="42" t="str">
        <x:v>Sensitive information is exposed or keys are mishandled</x:v>
      </x:c>
      <x:c r="E16" s="42" t="str">
        <x:v>Key-management documentation incomplete</x:v>
      </x:c>
      <x:c r="F16" s="42" t="n">
        <x:v>2</x:v>
      </x:c>
      <x:c r="G16" s="42" t="n">
        <x:v>5</x:v>
      </x:c>
      <x:c r="H16" s="42" t="n">
        <x:f>F16*G16</x:f>
        <x:v>10</x:v>
      </x:c>
      <x:c r="I16" s="42" t="str">
        <x:v>Mitigate</x:v>
      </x:c>
      <x:c r="J16" s="42" t="n">
        <x:v>1</x:v>
      </x:c>
      <x:c r="K16" s="42" t="n">
        <x:v>4</x:v>
      </x:c>
      <x:c r="L16" s="42" t="n">
        <x:f>J16*K16</x:f>
        <x:v>4</x:v>
      </x:c>
      <x:c r="M16" s="42" t="str">
        <x:v>Cloud Owner</x:v>
      </x:c>
      <x:c r="N16" s="62" t="str">
        <x:v>2026-12-15</x:v>
      </x:c>
      <x:c r="O16" s="42" t="str">
        <x:v>Open</x:v>
      </x:c>
    </x:row>
    <x:row r="17">
      <x:c r="A17" s="42" t="str">
        <x:v>R-14</x:v>
      </x:c>
      <x:c r="B17" s="42" t="str">
        <x:v>Unauthorized or poorly controlled production changes may introduce outages or vulnerabilities</x:v>
      </x:c>
      <x:c r="C17" s="42" t="str">
        <x:v>Change management</x:v>
      </x:c>
      <x:c r="D17" s="42" t="str">
        <x:v>Unapproved change affects production</x:v>
      </x:c>
      <x:c r="E17" s="42" t="str">
        <x:v>Emergency changes not consistently categorized</x:v>
      </x:c>
      <x:c r="F17" s="42" t="n">
        <x:v>2</x:v>
      </x:c>
      <x:c r="G17" s="42" t="n">
        <x:v>5</x:v>
      </x:c>
      <x:c r="H17" s="42" t="n">
        <x:f>F17*G17</x:f>
        <x:v>10</x:v>
      </x:c>
      <x:c r="I17" s="42" t="str">
        <x:v>Mitigate</x:v>
      </x:c>
      <x:c r="J17" s="42" t="n">
        <x:v>1</x:v>
      </x:c>
      <x:c r="K17" s="42" t="n">
        <x:v>4</x:v>
      </x:c>
      <x:c r="L17" s="42" t="n">
        <x:f>J17*K17</x:f>
        <x:v>4</x:v>
      </x:c>
      <x:c r="M17" s="42" t="str">
        <x:v>IT Operations</x:v>
      </x:c>
      <x:c r="N17" s="62" t="str">
        <x:v>2026-11-15</x:v>
      </x:c>
      <x:c r="O17" s="42" t="str">
        <x:v>Open</x:v>
      </x:c>
    </x:row>
    <x:row r="18">
      <x:c r="A18" s="42" t="str">
        <x:v>R-15</x:v>
      </x:c>
      <x:c r="B18" s="42" t="str">
        <x:v>Temporary audit access may remain longer than required</x:v>
      </x:c>
      <x:c r="C18" s="42" t="str">
        <x:v>Audit access</x:v>
      </x:c>
      <x:c r="D18" s="42" t="str">
        <x:v>Audit account is misused after testing</x:v>
      </x:c>
      <x:c r="E18" s="42" t="str">
        <x:v>Expiry evidence inconsistent</x:v>
      </x:c>
      <x:c r="F18" s="42" t="n">
        <x:v>2</x:v>
      </x:c>
      <x:c r="G18" s="42" t="n">
        <x:v>4</x:v>
      </x:c>
      <x:c r="H18" s="42" t="n">
        <x:f>F18*G18</x:f>
        <x:v>8</x:v>
      </x:c>
      <x:c r="I18" s="42" t="str">
        <x:v>Mitigate</x:v>
      </x:c>
      <x:c r="J18" s="42" t="n">
        <x:v>1</x:v>
      </x:c>
      <x:c r="K18" s="42" t="n">
        <x:v>3</x:v>
      </x:c>
      <x:c r="L18" s="42" t="n">
        <x:f>J18*K18</x:f>
        <x:v>3</x:v>
      </x:c>
      <x:c r="M18" s="42" t="str">
        <x:v>IAM Owner</x:v>
      </x:c>
      <x:c r="N18" s="62" t="str">
        <x:v>2026-11-15</x:v>
      </x:c>
      <x:c r="O18" s="42" t="str">
        <x:v>Open</x:v>
      </x:c>
    </x:row>
  </x:sheetData>
  <x:mergeCells>
    <x:mergeCell ref="A1:O1"/>
  </x:mergeCells>
  <x:conditionalFormatting sqref="H4:H1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4:L18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562c78fe18d4a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30" hidden="0" customWidth="1"/>
    <x:col min="5" max="5" width="34" hidden="0" customWidth="1"/>
    <x:col min="6" max="6" width="34" hidden="0" customWidth="1"/>
    <x:col min="7" max="7" width="10" hidden="0" customWidth="1"/>
    <x:col min="8" max="8" width="10" hidden="0" customWidth="1"/>
    <x:col min="9" max="9" width="36" hidden="0" customWidth="1"/>
    <x:col min="10" max="10" width="12" hidden="0" customWidth="1"/>
  </x:cols>
  <x:sheetData>
    <x:row r="1" ht="28" customHeight="1">
      <x:c r="A1" s="82" t="str">
        <x:v>Gap Assessment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Gap ID</x:v>
      </x:c>
      <x:c r="B3" s="37" t="str">
        <x:v>Control ID</x:v>
      </x:c>
      <x:c r="C3" s="37" t="str">
        <x:v>Requirement/Objective</x:v>
      </x:c>
      <x:c r="D3" s="37" t="str">
        <x:v>Current State</x:v>
      </x:c>
      <x:c r="E3" s="37" t="str">
        <x:v>Expected State</x:v>
      </x:c>
      <x:c r="F3" s="37" t="str">
        <x:v>Gap Description</x:v>
      </x:c>
      <x:c r="G3" s="37" t="str">
        <x:v>Related Risk</x:v>
      </x:c>
      <x:c r="H3" s="37" t="str">
        <x:v>Priority</x:v>
      </x:c>
      <x:c r="I3" s="37" t="str">
        <x:v>Recommended Action</x:v>
      </x:c>
      <x:c r="J3" s="37" t="str">
        <x:v>Status</x:v>
      </x:c>
    </x:row>
    <x:row r="4">
      <x:c r="A4" s="42" t="str">
        <x:v>G-01</x:v>
      </x:c>
      <x:c r="B4" s="42" t="str">
        <x:v>CTRL-01</x:v>
      </x:c>
      <x:c r="C4" s="42" t="str">
        <x:v>Controlled policy review and approval</x:v>
      </x:c>
      <x:c r="D4" s="42" t="str">
        <x:v>Policy exists but approval evidence is inconsistent</x:v>
      </x:c>
      <x:c r="E4" s="42" t="str">
        <x:v>Documented review approval and version history</x:v>
      </x:c>
      <x:c r="F4" s="42" t="str">
        <x:v>Governance evidence is incomplete</x:v>
      </x:c>
      <x:c r="G4" s="42" t="str">
        <x:v>R-01</x:v>
      </x:c>
      <x:c r="H4" s="42" t="str">
        <x:v>High</x:v>
      </x:c>
      <x:c r="I4" s="42" t="str">
        <x:v>Implement annual review workflow</x:v>
      </x:c>
      <x:c r="J4" s="42" t="str">
        <x:v>Open</x:v>
      </x:c>
    </x:row>
    <x:row r="5">
      <x:c r="A5" s="42" t="str">
        <x:v>G-02</x:v>
      </x:c>
      <x:c r="B5" s="42" t="str">
        <x:v>CTRL-02</x:v>
      </x:c>
      <x:c r="C5" s="42" t="str">
        <x:v>Relevant threat intelligence is reviewed</x:v>
      </x:c>
      <x:c r="D5" s="42" t="str">
        <x:v>Informal sources</x:v>
      </x:c>
      <x:c r="E5" s="42" t="str">
        <x:v>Defined sources owner cadence and record</x:v>
      </x:c>
      <x:c r="F5" s="42" t="str">
        <x:v>No formal review process</x:v>
      </x:c>
      <x:c r="G5" s="42" t="str">
        <x:v>R-02</x:v>
      </x:c>
      <x:c r="H5" s="42" t="str">
        <x:v>Medium</x:v>
      </x:c>
      <x:c r="I5" s="42" t="str">
        <x:v>Create threat-intelligence review process</x:v>
      </x:c>
      <x:c r="J5" s="42" t="str">
        <x:v>Open</x:v>
      </x:c>
    </x:row>
    <x:row r="6">
      <x:c r="A6" s="42" t="str">
        <x:v>G-03</x:v>
      </x:c>
      <x:c r="B6" s="42" t="str">
        <x:v>CTRL-03</x:v>
      </x:c>
      <x:c r="C6" s="42" t="str">
        <x:v>Access rights are reviewed</x:v>
      </x:c>
      <x:c r="D6" s="42" t="str">
        <x:v>Reviews occur inconsistently</x:v>
      </x:c>
      <x:c r="E6" s="42" t="str">
        <x:v>Quarterly review with approvals and exceptions</x:v>
      </x:c>
      <x:c r="F6" s="42" t="str">
        <x:v>Certification evidence is incomplete</x:v>
      </x:c>
      <x:c r="G6" s="42" t="str">
        <x:v>R-03</x:v>
      </x:c>
      <x:c r="H6" s="42" t="str">
        <x:v>High</x:v>
      </x:c>
      <x:c r="I6" s="42" t="str">
        <x:v>Implement quarterly access certification</x:v>
      </x:c>
      <x:c r="J6" s="42" t="str">
        <x:v>Open</x:v>
      </x:c>
    </x:row>
    <x:row r="7">
      <x:c r="A7" s="42" t="str">
        <x:v>G-04</x:v>
      </x:c>
      <x:c r="B7" s="42" t="str">
        <x:v>CTRL-05</x:v>
      </x:c>
      <x:c r="C7" s="42" t="str">
        <x:v>Supplier security risk is managed</x:v>
      </x:c>
      <x:c r="D7" s="42" t="str">
        <x:v>Vendor reviews vary</x:v>
      </x:c>
      <x:c r="E7" s="42" t="str">
        <x:v>Standardized risk-tiered due diligence</x:v>
      </x:c>
      <x:c r="F7" s="42" t="str">
        <x:v>No consistent criticality model</x:v>
      </x:c>
      <x:c r="G7" s="42" t="str">
        <x:v>R-05</x:v>
      </x:c>
      <x:c r="H7" s="42" t="str">
        <x:v>High</x:v>
      </x:c>
      <x:c r="I7" s="42" t="str">
        <x:v>Implement TPRM tiering</x:v>
      </x:c>
      <x:c r="J7" s="42" t="str">
        <x:v>Open</x:v>
      </x:c>
    </x:row>
    <x:row r="8">
      <x:c r="A8" s="42" t="str">
        <x:v>G-05</x:v>
      </x:c>
      <x:c r="B8" s="42" t="str">
        <x:v>CTRL-06</x:v>
      </x:c>
      <x:c r="C8" s="42" t="str">
        <x:v>Cloud security responsibilities are defined</x:v>
      </x:c>
      <x:c r="D8" s="42" t="str">
        <x:v>Responsibilities understood informally</x:v>
      </x:c>
      <x:c r="E8" s="42" t="str">
        <x:v>Documented control ownership matrix</x:v>
      </x:c>
      <x:c r="F8" s="42" t="str">
        <x:v>Shared-responsibility mapping incomplete</x:v>
      </x:c>
      <x:c r="G8" s="42" t="str">
        <x:v>R-06</x:v>
      </x:c>
      <x:c r="H8" s="42" t="str">
        <x:v>High</x:v>
      </x:c>
      <x:c r="I8" s="42" t="str">
        <x:v>Create cloud control matrix</x:v>
      </x:c>
      <x:c r="J8" s="42" t="str">
        <x:v>Open</x:v>
      </x:c>
    </x:row>
    <x:row r="9">
      <x:c r="A9" s="42" t="str">
        <x:v>G-06</x:v>
      </x:c>
      <x:c r="B9" s="42" t="str">
        <x:v>CTRL-08</x:v>
      </x:c>
      <x:c r="C9" s="42" t="str">
        <x:v>ICT recovery readiness is demonstrated</x:v>
      </x:c>
      <x:c r="D9" s="42" t="str">
        <x:v>Backups exist but testing is incomplete</x:v>
      </x:c>
      <x:c r="E9" s="42" t="str">
        <x:v>Documented RTO/RPO and restore evidence</x:v>
      </x:c>
      <x:c r="F9" s="42" t="str">
        <x:v>Recovery evidence incomplete</x:v>
      </x:c>
      <x:c r="G9" s="42" t="str">
        <x:v>R-08</x:v>
      </x:c>
      <x:c r="H9" s="42" t="str">
        <x:v>High</x:v>
      </x:c>
      <x:c r="I9" s="42" t="str">
        <x:v>Run restore tests and map RTO/RPO</x:v>
      </x:c>
      <x:c r="J9" s="42" t="str">
        <x:v>Open</x:v>
      </x:c>
    </x:row>
    <x:row r="10">
      <x:c r="A10" s="42" t="str">
        <x:v>G-07</x:v>
      </x:c>
      <x:c r="B10" s="42" t="str">
        <x:v>CTRL-10</x:v>
      </x:c>
      <x:c r="C10" s="42" t="str">
        <x:v>Vulnerabilities are remediated according to risk</x:v>
      </x:c>
      <x:c r="D10" s="42" t="str">
        <x:v>Scanning occurs but ageing/exception tracking varies</x:v>
      </x:c>
      <x:c r="E10" s="42" t="str">
        <x:v>Defined SLA and risk-acceptance workflow</x:v>
      </x:c>
      <x:c r="F10" s="42" t="str">
        <x:v>Remediation governance inconsistent</x:v>
      </x:c>
      <x:c r="G10" s="42" t="str">
        <x:v>R-10</x:v>
      </x:c>
      <x:c r="H10" s="42" t="str">
        <x:v>High</x:v>
      </x:c>
      <x:c r="I10" s="42" t="str">
        <x:v>Implement vulnerability SLA and exception process</x:v>
      </x:c>
      <x:c r="J10" s="42" t="str">
        <x:v>Open</x:v>
      </x:c>
    </x:row>
    <x:row r="11">
      <x:c r="A11" s="42" t="str">
        <x:v>G-08</x:v>
      </x:c>
      <x:c r="B11" s="42" t="str">
        <x:v>CTRL-11</x:v>
      </x:c>
      <x:c r="C11" s="42" t="str">
        <x:v>Security logging requirements are defined</x:v>
      </x:c>
      <x:c r="D11" s="42" t="str">
        <x:v>Central logging covers selected systems</x:v>
      </x:c>
      <x:c r="E11" s="42" t="str">
        <x:v>Documented coverage and retention requirements</x:v>
      </x:c>
      <x:c r="F11" s="42" t="str">
        <x:v>No formal coverage matrix</x:v>
      </x:c>
      <x:c r="G11" s="42" t="str">
        <x:v>R-11</x:v>
      </x:c>
      <x:c r="H11" s="42" t="str">
        <x:v>Medium</x:v>
      </x:c>
      <x:c r="I11" s="42" t="str">
        <x:v>Create logging coverage matrix</x:v>
      </x:c>
      <x:c r="J11" s="42" t="str">
        <x:v>Open</x:v>
      </x:c>
    </x:row>
  </x:sheetData>
  <x:mergeCells>
    <x:mergeCell ref="A1:J1"/>
  </x:mergeCells>
  <x:conditionalFormatting sqref="H4:H11">
    <x:cfRule type="expression" dxfId="6" priority="1">
      <x:formula>H4="High"</x:formula>
    </x:cfRule>
    <x:cfRule type="expression" dxfId="7" priority="2">
      <x:formula>H4="Medium"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08a4256f5646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32" hidden="0" customWidth="1"/>
    <x:col min="5" max="5" width="22" hidden="0" customWidth="1"/>
    <x:col min="6" max="6" width="12" hidden="0" customWidth="1"/>
    <x:col min="7" max="7" width="24" hidden="0" customWidth="1"/>
    <x:col min="8" max="8" width="25" hidden="0" customWidth="1"/>
    <x:col min="9" max="9" width="18" hidden="0" customWidth="1"/>
    <x:col min="10" max="10" width="32" hidden="0" customWidth="1"/>
  </x:cols>
  <x:sheetData>
    <x:row r="1" ht="28" customHeight="1">
      <x:c r="A1" s="82" t="str">
        <x:v>Evidence Index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Evidence ID</x:v>
      </x:c>
      <x:c r="B3" s="37" t="str">
        <x:v>Control ID</x:v>
      </x:c>
      <x:c r="C3" s="37" t="str">
        <x:v>Evidence Name</x:v>
      </x:c>
      <x:c r="D3" s="37" t="str">
        <x:v>Description</x:v>
      </x:c>
      <x:c r="E3" s="37" t="str">
        <x:v>Owner</x:v>
      </x:c>
      <x:c r="F3" s="37" t="str">
        <x:v>Period</x:v>
      </x:c>
      <x:c r="G3" s="37" t="str">
        <x:v>Source</x:v>
      </x:c>
      <x:c r="H3" s="37" t="str">
        <x:v>Expected Quality</x:v>
      </x:c>
      <x:c r="I3" s="37" t="str">
        <x:v>Assessment Result</x:v>
      </x:c>
      <x:c r="J3" s="37" t="str">
        <x:v>Notes</x:v>
      </x:c>
    </x:row>
    <x:row r="4">
      <x:c r="A4" s="42" t="str">
        <x:v>EV-001</x:v>
      </x:c>
      <x:c r="B4" s="42" t="str">
        <x:v>CTRL-01</x:v>
      </x:c>
      <x:c r="C4" s="42" t="str">
        <x:v>Information Security Policy</x:v>
      </x:c>
      <x:c r="D4" s="42" t="str">
        <x:v>Approved policy document</x:v>
      </x:c>
      <x:c r="E4" s="42" t="str">
        <x:v>ISMS Owner</x:v>
      </x:c>
      <x:c r="F4" s="42" t="str">
        <x:v>Q3 2026</x:v>
      </x:c>
      <x:c r="G4" s="42" t="str">
        <x:v>Policy repository</x:v>
      </x:c>
      <x:c r="H4" s="42" t="str">
        <x:v>Approved/current</x:v>
      </x:c>
      <x:c r="I4" s="42" t="str">
        <x:v>Available</x:v>
      </x:c>
      <x:c r="J4" s="42" t="str">
        <x:v>Approval evidence needs stronger retention</x:v>
      </x:c>
    </x:row>
    <x:row r="5">
      <x:c r="A5" s="42" t="str">
        <x:v>EV-002</x:v>
      </x:c>
      <x:c r="B5" s="42" t="str">
        <x:v>CTRL-02</x:v>
      </x:c>
      <x:c r="C5" s="42" t="str">
        <x:v>Threat Intelligence Review Log</x:v>
      </x:c>
      <x:c r="D5" s="42" t="str">
        <x:v>Periodic review of relevant threat sources</x:v>
      </x:c>
      <x:c r="E5" s="42" t="str">
        <x:v>Security Lead</x:v>
      </x:c>
      <x:c r="F5" s="42" t="str">
        <x:v>Q3 2026</x:v>
      </x:c>
      <x:c r="G5" s="42" t="str">
        <x:v>Security workspace</x:v>
      </x:c>
      <x:c r="H5" s="42" t="str">
        <x:v>Complete and dated</x:v>
      </x:c>
      <x:c r="I5" s="42" t="str">
        <x:v>Not Available</x:v>
      </x:c>
      <x:c r="J5" s="42" t="str">
        <x:v>Gap identified</x:v>
      </x:c>
    </x:row>
    <x:row r="6">
      <x:c r="A6" s="42" t="str">
        <x:v>EV-003</x:v>
      </x:c>
      <x:c r="B6" s="42" t="str">
        <x:v>CTRL-03</x:v>
      </x:c>
      <x:c r="C6" s="42" t="str">
        <x:v>Access Review Export</x:v>
      </x:c>
      <x:c r="D6" s="42" t="str">
        <x:v>User/role access review evidence</x:v>
      </x:c>
      <x:c r="E6" s="42" t="str">
        <x:v>IAM Owner</x:v>
      </x:c>
      <x:c r="F6" s="42" t="str">
        <x:v>Q3 2026</x:v>
      </x:c>
      <x:c r="G6" s="42" t="str">
        <x:v>Identity platform</x:v>
      </x:c>
      <x:c r="H6" s="42" t="str">
        <x:v>Complete and approved</x:v>
      </x:c>
      <x:c r="I6" s="42" t="str">
        <x:v>Partial</x:v>
      </x:c>
      <x:c r="J6" s="42" t="str">
        <x:v>Review cadence evidence incomplete</x:v>
      </x:c>
    </x:row>
    <x:row r="7">
      <x:c r="A7" s="42" t="str">
        <x:v>EV-004</x:v>
      </x:c>
      <x:c r="B7" s="42" t="str">
        <x:v>CTRL-04</x:v>
      </x:c>
      <x:c r="C7" s="42" t="str">
        <x:v>Offboarding Tickets</x:v>
      </x:c>
      <x:c r="D7" s="42" t="str">
        <x:v>Sample leaver tickets showing access removal</x:v>
      </x:c>
      <x:c r="E7" s="42" t="str">
        <x:v>IT Operations</x:v>
      </x:c>
      <x:c r="F7" s="42" t="str">
        <x:v>Q3 2026</x:v>
      </x:c>
      <x:c r="G7" s="42" t="str">
        <x:v>Ticketing system</x:v>
      </x:c>
      <x:c r="H7" s="42" t="str">
        <x:v>Traceable and complete</x:v>
      </x:c>
      <x:c r="I7" s="42" t="str">
        <x:v>Partial</x:v>
      </x:c>
      <x:c r="J7" s="42" t="str">
        <x:v>Evidence fragmented</x:v>
      </x:c>
    </x:row>
    <x:row r="8">
      <x:c r="A8" s="42" t="str">
        <x:v>EV-005</x:v>
      </x:c>
      <x:c r="B8" s="42" t="str">
        <x:v>CTRL-05</x:v>
      </x:c>
      <x:c r="C8" s="42" t="str">
        <x:v>Vendor Due Diligence</x:v>
      </x:c>
      <x:c r="D8" s="42" t="str">
        <x:v>Security assessment for critical suppliers</x:v>
      </x:c>
      <x:c r="E8" s="42" t="str">
        <x:v>Procurement + Security</x:v>
      </x:c>
      <x:c r="F8" s="42" t="str">
        <x:v>Q3 2026</x:v>
      </x:c>
      <x:c r="G8" s="42" t="str">
        <x:v>TPRM repository</x:v>
      </x:c>
      <x:c r="H8" s="42" t="str">
        <x:v>Risk-based and current</x:v>
      </x:c>
      <x:c r="I8" s="42" t="str">
        <x:v>Partial</x:v>
      </x:c>
      <x:c r="J8" s="42" t="str">
        <x:v>No consistent tiering</x:v>
      </x:c>
    </x:row>
    <x:row r="9">
      <x:c r="A9" s="42" t="str">
        <x:v>EV-006</x:v>
      </x:c>
      <x:c r="B9" s="42" t="str">
        <x:v>CTRL-06</x:v>
      </x:c>
      <x:c r="C9" s="42" t="str">
        <x:v>Cloud Responsibility Matrix</x:v>
      </x:c>
      <x:c r="D9" s="42" t="str">
        <x:v>Control ownership between provider and customer</x:v>
      </x:c>
      <x:c r="E9" s="42" t="str">
        <x:v>Cloud Owner</x:v>
      </x:c>
      <x:c r="F9" s="42" t="str">
        <x:v>Q3 2026</x:v>
      </x:c>
      <x:c r="G9" s="42" t="str">
        <x:v>Cloud documentation</x:v>
      </x:c>
      <x:c r="H9" s="42" t="str">
        <x:v>Approved and current</x:v>
      </x:c>
      <x:c r="I9" s="42" t="str">
        <x:v>Partial</x:v>
      </x:c>
      <x:c r="J9" s="42" t="str">
        <x:v>Mapping incomplete</x:v>
      </x:c>
    </x:row>
    <x:row r="10">
      <x:c r="A10" s="42" t="str">
        <x:v>EV-007</x:v>
      </x:c>
      <x:c r="B10" s="42" t="str">
        <x:v>CTRL-07</x:v>
      </x:c>
      <x:c r="C10" s="42" t="str">
        <x:v>Incident Response Procedure</x:v>
      </x:c>
      <x:c r="D10" s="42" t="str">
        <x:v>Approved incident response procedure</x:v>
      </x:c>
      <x:c r="E10" s="42" t="str">
        <x:v>Security Lead</x:v>
      </x:c>
      <x:c r="F10" s="42" t="str">
        <x:v>Q3 2026</x:v>
      </x:c>
      <x:c r="G10" s="42" t="str">
        <x:v>Policy repository</x:v>
      </x:c>
      <x:c r="H10" s="42" t="str">
        <x:v>Approved/current</x:v>
      </x:c>
      <x:c r="I10" s="42" t="str">
        <x:v>Available</x:v>
      </x:c>
      <x:c r="J10" s="42" t="str">
        <x:v>Tabletop evidence limited</x:v>
      </x:c>
    </x:row>
    <x:row r="11">
      <x:c r="A11" s="42" t="str">
        <x:v>EV-008</x:v>
      </x:c>
      <x:c r="B11" s="42" t="str">
        <x:v>CTRL-08</x:v>
      </x:c>
      <x:c r="C11" s="42" t="str">
        <x:v>Restore Test Evidence</x:v>
      </x:c>
      <x:c r="D11" s="42" t="str">
        <x:v>Backup restore test and result</x:v>
      </x:c>
      <x:c r="E11" s="42" t="str">
        <x:v>BCM Owner</x:v>
      </x:c>
      <x:c r="F11" s="42" t="str">
        <x:v>Q3 2026</x:v>
      </x:c>
      <x:c r="G11" s="42" t="str">
        <x:v>Backup platform</x:v>
      </x:c>
      <x:c r="H11" s="42" t="str">
        <x:v>Successful and dated</x:v>
      </x:c>
      <x:c r="I11" s="42" t="str">
        <x:v>Partial</x:v>
      </x:c>
      <x:c r="J11" s="42" t="str">
        <x:v>Restore evidence incomplete</x:v>
      </x:c>
    </x:row>
    <x:row r="12">
      <x:c r="A12" s="42" t="str">
        <x:v>EV-009</x:v>
      </x:c>
      <x:c r="B12" s="42" t="str">
        <x:v>CTRL-09</x:v>
      </x:c>
      <x:c r="C12" s="42" t="str">
        <x:v>Training Completion Report</x:v>
      </x:c>
      <x:c r="D12" s="42" t="str">
        <x:v>Security awareness completion</x:v>
      </x:c>
      <x:c r="E12" s="42" t="str">
        <x:v>HR + Security</x:v>
      </x:c>
      <x:c r="F12" s="42" t="str">
        <x:v>Q3 2026</x:v>
      </x:c>
      <x:c r="G12" s="42" t="str">
        <x:v>LMS</x:v>
      </x:c>
      <x:c r="H12" s="42" t="str">
        <x:v>Complete and dated</x:v>
      </x:c>
      <x:c r="I12" s="42" t="str">
        <x:v>Available</x:v>
      </x:c>
      <x:c r="J12" s="42" t="str">
        <x:v>Role-specific training limited</x:v>
      </x:c>
    </x:row>
    <x:row r="13">
      <x:c r="A13" s="42" t="str">
        <x:v>EV-010</x:v>
      </x:c>
      <x:c r="B13" s="42" t="str">
        <x:v>CTRL-10</x:v>
      </x:c>
      <x:c r="C13" s="42" t="str">
        <x:v>Vulnerability Scan Summary</x:v>
      </x:c>
      <x:c r="D13" s="42" t="str">
        <x:v>Current vulnerability results</x:v>
      </x:c>
      <x:c r="E13" s="42" t="str">
        <x:v>Vulnerability Owner</x:v>
      </x:c>
      <x:c r="F13" s="42" t="str">
        <x:v>Q3 2026</x:v>
      </x:c>
      <x:c r="G13" s="42" t="str">
        <x:v>Vulnerability platform</x:v>
      </x:c>
      <x:c r="H13" s="42" t="str">
        <x:v>Current and traceable</x:v>
      </x:c>
      <x:c r="I13" s="42" t="str">
        <x:v>Available</x:v>
      </x:c>
      <x:c r="J13" s="42" t="str">
        <x:v>Ageing/exception tracking weak</x:v>
      </x:c>
    </x:row>
    <x:row r="14">
      <x:c r="A14" s="42" t="str">
        <x:v>EV-011</x:v>
      </x:c>
      <x:c r="B14" s="42" t="str">
        <x:v>CTRL-11</x:v>
      </x:c>
      <x:c r="C14" s="42" t="str">
        <x:v>SIEM Coverage Sample</x:v>
      </x:c>
      <x:c r="D14" s="42" t="str">
        <x:v>Log-source coverage and retention evidence</x:v>
      </x:c>
      <x:c r="E14" s="42" t="str">
        <x:v>Security Operations</x:v>
      </x:c>
      <x:c r="F14" s="42" t="str">
        <x:v>Q3 2026</x:v>
      </x:c>
      <x:c r="G14" s="42" t="str">
        <x:v>SIEM</x:v>
      </x:c>
      <x:c r="H14" s="42" t="str">
        <x:v>Complete and current</x:v>
      </x:c>
      <x:c r="I14" s="42" t="str">
        <x:v>Partial</x:v>
      </x:c>
      <x:c r="J14" s="42" t="str">
        <x:v>Coverage matrix needed</x:v>
      </x:c>
    </x:row>
    <x:row r="15">
      <x:c r="A15" s="42" t="str">
        <x:v>EV-012</x:v>
      </x:c>
      <x:c r="B15" s="42" t="str">
        <x:v>CTRL-12</x:v>
      </x:c>
      <x:c r="C15" s="42" t="str">
        <x:v>Monitoring Escalation Procedure</x:v>
      </x:c>
      <x:c r="D15" s="42" t="str">
        <x:v>Monitoring hours and escalation process</x:v>
      </x:c>
      <x:c r="E15" s="42" t="str">
        <x:v>Security Operations</x:v>
      </x:c>
      <x:c r="F15" s="42" t="str">
        <x:v>Q3 2026</x:v>
      </x:c>
      <x:c r="G15" s="42" t="str">
        <x:v>SOC documentation</x:v>
      </x:c>
      <x:c r="H15" s="42" t="str">
        <x:v>Approved/current</x:v>
      </x:c>
      <x:c r="I15" s="42" t="str">
        <x:v>Partial</x:v>
      </x:c>
      <x:c r="J15" s="42" t="str">
        <x:v>After-hours process needs clarification</x:v>
      </x:c>
    </x:row>
    <x:row r="16">
      <x:c r="A16" s="42" t="str">
        <x:v>EV-013</x:v>
      </x:c>
      <x:c r="B16" s="42" t="str">
        <x:v>CTRL-13</x:v>
      </x:c>
      <x:c r="C16" s="42" t="str">
        <x:v>Encryption Configuration</x:v>
      </x:c>
      <x:c r="D16" s="42" t="str">
        <x:v>Cloud encryption configuration evidence</x:v>
      </x:c>
      <x:c r="E16" s="42" t="str">
        <x:v>Cloud Owner</x:v>
      </x:c>
      <x:c r="F16" s="42" t="str">
        <x:v>Q3 2026</x:v>
      </x:c>
      <x:c r="G16" s="42" t="str">
        <x:v>Cloud console export</x:v>
      </x:c>
      <x:c r="H16" s="42" t="str">
        <x:v>Current and traceable</x:v>
      </x:c>
      <x:c r="I16" s="42" t="str">
        <x:v>Available</x:v>
      </x:c>
      <x:c r="J16" s="42" t="str">
        <x:v>Key management documentation needs improvement</x:v>
      </x:c>
    </x:row>
    <x:row r="17">
      <x:c r="A17" s="42" t="str">
        <x:v>EV-014</x:v>
      </x:c>
      <x:c r="B17" s="42" t="str">
        <x:v>CTRL-14</x:v>
      </x:c>
      <x:c r="C17" s="42" t="str">
        <x:v>Change Tickets</x:v>
      </x:c>
      <x:c r="D17" s="42" t="str">
        <x:v>Approved production change samples</x:v>
      </x:c>
      <x:c r="E17" s="42" t="str">
        <x:v>IT Operations</x:v>
      </x:c>
      <x:c r="F17" s="42" t="str">
        <x:v>Q3 2026</x:v>
      </x:c>
      <x:c r="G17" s="42" t="str">
        <x:v>Ticketing system</x:v>
      </x:c>
      <x:c r="H17" s="42" t="str">
        <x:v>Traceable and approved</x:v>
      </x:c>
      <x:c r="I17" s="42" t="str">
        <x:v>Available</x:v>
      </x:c>
      <x:c r="J17" s="42" t="str">
        <x:v>Emergency classification inconsistent</x:v>
      </x:c>
    </x:row>
    <x:row r="18">
      <x:c r="A18" s="42" t="str">
        <x:v>EV-015</x:v>
      </x:c>
      <x:c r="B18" s="42" t="str">
        <x:v>CTRL-15</x:v>
      </x:c>
      <x:c r="C18" s="42" t="str">
        <x:v>Temporary Access Tickets</x:v>
      </x:c>
      <x:c r="D18" s="42" t="str">
        <x:v>Time-bound audit access approvals</x:v>
      </x:c>
      <x:c r="E18" s="42" t="str">
        <x:v>IAM Owner</x:v>
      </x:c>
      <x:c r="F18" s="42" t="str">
        <x:v>Q3 2026</x:v>
      </x:c>
      <x:c r="G18" s="42" t="str">
        <x:v>Identity/ticketing system</x:v>
      </x:c>
      <x:c r="H18" s="42" t="str">
        <x:v>Expiry traceable</x:v>
      </x:c>
      <x:c r="I18" s="42" t="str">
        <x:v>Partial</x:v>
      </x:c>
      <x:c r="J18" s="42" t="str">
        <x:v>Expiry evidence inconsistent</x:v>
      </x:c>
    </x:row>
  </x:sheetData>
  <x:mergeCells>
    <x:mergeCell ref="A1:J1"/>
  </x:mergeCells>
  <x:conditionalFormatting sqref="I4:I18">
    <x:cfRule type="expression" dxfId="8" priority="1">
      <x:formula>I4="Available"</x:formula>
    </x:cfRule>
    <x:cfRule type="expression" dxfId="9" priority="2">
      <x:formula>I4="Partial"</x:formula>
    </x:cfRule>
    <x:cfRule type="expression" dxfId="10" priority="3">
      <x:formula>I4="Not Available"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424e9117a547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42" hidden="0" customWidth="1"/>
    <x:col min="5" max="5" width="36" hidden="0" customWidth="1"/>
    <x:col min="6" max="6" width="34" hidden="0" customWidth="1"/>
    <x:col min="7" max="7" width="34" hidden="0" customWidth="1"/>
    <x:col min="8" max="8" width="11" hidden="0" customWidth="1"/>
    <x:col min="9" max="9" width="42" hidden="0" customWidth="1"/>
    <x:col min="10" max="10" width="22" hidden="0" customWidth="1"/>
    <x:col min="11" max="11" width="13" hidden="0" customWidth="1"/>
    <x:col min="12" max="12" width="12" hidden="0" customWidth="1"/>
  </x:cols>
  <x:sheetData>
    <x:row r="1" ht="28" customHeight="1">
      <x:c r="A1" s="82" t="str">
        <x:v>Findings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Finding ID</x:v>
      </x:c>
      <x:c r="B3" s="37" t="str">
        <x:v>Control ID</x:v>
      </x:c>
      <x:c r="C3" s="37" t="str">
        <x:v>Risk ID</x:v>
      </x:c>
      <x:c r="D3" s="37" t="str">
        <x:v>Condition</x:v>
      </x:c>
      <x:c r="E3" s="37" t="str">
        <x:v>Criteria</x:v>
      </x:c>
      <x:c r="F3" s="37" t="str">
        <x:v>Cause</x:v>
      </x:c>
      <x:c r="G3" s="37" t="str">
        <x:v>Impact</x:v>
      </x:c>
      <x:c r="H3" s="37" t="str">
        <x:v>Risk</x:v>
      </x:c>
      <x:c r="I3" s="37" t="str">
        <x:v>Recommendation</x:v>
      </x:c>
      <x:c r="J3" s="37" t="str">
        <x:v>Owner</x:v>
      </x:c>
      <x:c r="K3" s="37" t="str">
        <x:v>Due Date</x:v>
      </x:c>
      <x:c r="L3" s="37" t="str">
        <x:v>Status</x:v>
      </x:c>
    </x:row>
    <x:row r="4">
      <x:c r="A4" s="42" t="str">
        <x:v>F-01</x:v>
      </x:c>
      <x:c r="B4" s="42" t="str">
        <x:v>CTRL-01</x:v>
      </x:c>
      <x:c r="C4" s="42" t="str">
        <x:v>R-01</x:v>
      </x:c>
      <x:c r="D4" s="42" t="str">
        <x:v>Policy review/approval evidence is not consistently retained</x:v>
      </x:c>
      <x:c r="E4" s="42" t="str">
        <x:v>Policies should be reviewed and approved through a controlled process</x:v>
      </x:c>
      <x:c r="F4" s="42" t="str">
        <x:v>No centralized approval/evidence workflow</x:v>
      </x:c>
      <x:c r="G4" s="42" t="str">
        <x:v>Staff may rely on outdated guidance</x:v>
      </x:c>
      <x:c r="H4" s="42" t="str">
        <x:v>High</x:v>
      </x:c>
      <x:c r="I4" s="42" t="str">
        <x:v>Implement annual policy review workflow with approval record and version history</x:v>
      </x:c>
      <x:c r="J4" s="42" t="str">
        <x:v>ISMS Owner</x:v>
      </x:c>
      <x:c r="K4" s="62" t="str">
        <x:v>2026-10-31</x:v>
      </x:c>
      <x:c r="L4" s="42" t="str">
        <x:v>Open</x:v>
      </x:c>
    </x:row>
    <x:row r="5">
      <x:c r="A5" s="42" t="str">
        <x:v>F-02</x:v>
      </x:c>
      <x:c r="B5" s="42" t="str">
        <x:v>CTRL-02</x:v>
      </x:c>
      <x:c r="C5" s="42" t="str">
        <x:v>R-02</x:v>
      </x:c>
      <x:c r="D5" s="42" t="str">
        <x:v>No documented periodic threat-intelligence review exists</x:v>
      </x:c>
      <x:c r="E5" s="42" t="str">
        <x:v>Threat intelligence should support timely identification of relevant threats</x:v>
      </x:c>
      <x:c r="F5" s="42" t="str">
        <x:v>Informal sources without assigned cadence</x:v>
      </x:c>
      <x:c r="G5" s="42" t="str">
        <x:v>Emerging threats may not be considered in risk decisions</x:v>
      </x:c>
      <x:c r="H5" s="42" t="str">
        <x:v>Medium</x:v>
      </x:c>
      <x:c r="I5" s="42" t="str">
        <x:v>Define sources owner cadence and review record</x:v>
      </x:c>
      <x:c r="J5" s="42" t="str">
        <x:v>Security Lead</x:v>
      </x:c>
      <x:c r="K5" s="62" t="str">
        <x:v>2026-11-15</x:v>
      </x:c>
      <x:c r="L5" s="42" t="str">
        <x:v>Open</x:v>
      </x:c>
    </x:row>
    <x:row r="6">
      <x:c r="A6" s="42" t="str">
        <x:v>F-03</x:v>
      </x:c>
      <x:c r="B6" s="42" t="str">
        <x:v>CTRL-03</x:v>
      </x:c>
      <x:c r="C6" s="42" t="str">
        <x:v>R-03</x:v>
      </x:c>
      <x:c r="D6" s="42" t="str">
        <x:v>Quarterly access recertification is not consistently evidenced</x:v>
      </x:c>
      <x:c r="E6" s="42" t="str">
        <x:v>Access rights should be reviewed according to business need</x:v>
      </x:c>
      <x:c r="F6" s="42" t="str">
        <x:v>Review process lacks consistent evidence retention</x:v>
      </x:c>
      <x:c r="G6" s="42" t="str">
        <x:v>Excessive access may persist</x:v>
      </x:c>
      <x:c r="H6" s="42" t="str">
        <x:v>High</x:v>
      </x:c>
      <x:c r="I6" s="42" t="str">
        <x:v>Run quarterly access certification with approval and exception tracking</x:v>
      </x:c>
      <x:c r="J6" s="42" t="str">
        <x:v>IAM Owner</x:v>
      </x:c>
      <x:c r="K6" s="62" t="str">
        <x:v>2026-10-31</x:v>
      </x:c>
      <x:c r="L6" s="42" t="str">
        <x:v>Open</x:v>
      </x:c>
    </x:row>
    <x:row r="7">
      <x:c r="A7" s="42" t="str">
        <x:v>F-04</x:v>
      </x:c>
      <x:c r="B7" s="42" t="str">
        <x:v>CTRL-05</x:v>
      </x:c>
      <x:c r="C7" s="42" t="str">
        <x:v>R-05</x:v>
      </x:c>
      <x:c r="D7" s="42" t="str">
        <x:v>Critical suppliers do not consistently receive risk-based security due diligence</x:v>
      </x:c>
      <x:c r="E7" s="42" t="str">
        <x:v>Supplier controls should reflect supplier security risk</x:v>
      </x:c>
      <x:c r="F7" s="42" t="str">
        <x:v>Criticality criteria and minimum evidence are not standardized</x:v>
      </x:c>
      <x:c r="G7" s="42" t="str">
        <x:v>Third-party compromise may introduce security/privacy exposure</x:v>
      </x:c>
      <x:c r="H7" s="42" t="str">
        <x:v>High</x:v>
      </x:c>
      <x:c r="I7" s="42" t="str">
        <x:v>Implement vendor tiering questionnaire evidence requirements and reassessment</x:v>
      </x:c>
      <x:c r="J7" s="42" t="str">
        <x:v>Procurement + Security</x:v>
      </x:c>
      <x:c r="K7" s="62" t="str">
        <x:v>2026-11-30</x:v>
      </x:c>
      <x:c r="L7" s="42" t="str">
        <x:v>Open</x:v>
      </x:c>
    </x:row>
    <x:row r="8">
      <x:c r="A8" s="42" t="str">
        <x:v>F-05</x:v>
      </x:c>
      <x:c r="B8" s="42" t="str">
        <x:v>CTRL-06</x:v>
      </x:c>
      <x:c r="C8" s="42" t="str">
        <x:v>R-06</x:v>
      </x:c>
      <x:c r="D8" s="42" t="str">
        <x:v>Cloud control ownership is not fully documented</x:v>
      </x:c>
      <x:c r="E8" s="42" t="str">
        <x:v>Cloud-service security responsibilities should be understood and managed</x:v>
      </x:c>
      <x:c r="F8" s="42" t="str">
        <x:v>Shared-responsibility mapping is incomplete</x:v>
      </x:c>
      <x:c r="G8" s="42" t="str">
        <x:v>Control gaps may be missed between provider and customer</x:v>
      </x:c>
      <x:c r="H8" s="42" t="str">
        <x:v>High</x:v>
      </x:c>
      <x:c r="I8" s="42" t="str">
        <x:v>Create cloud control ownership matrix and review it annually</x:v>
      </x:c>
      <x:c r="J8" s="42" t="str">
        <x:v>Cloud Owner</x:v>
      </x:c>
      <x:c r="K8" s="62" t="str">
        <x:v>2026-11-30</x:v>
      </x:c>
      <x:c r="L8" s="42" t="str">
        <x:v>Open</x:v>
      </x:c>
    </x:row>
    <x:row r="9">
      <x:c r="A9" s="42" t="str">
        <x:v>F-06</x:v>
      </x:c>
      <x:c r="B9" s="42" t="str">
        <x:v>CTRL-08</x:v>
      </x:c>
      <x:c r="C9" s="42" t="str">
        <x:v>R-08</x:v>
      </x:c>
      <x:c r="D9" s="42" t="str">
        <x:v>RTO/RPO mapping and restore-test evidence are incomplete</x:v>
      </x:c>
      <x:c r="E9" s="42" t="str">
        <x:v>ICT readiness should support continuity objectives</x:v>
      </x:c>
      <x:c r="F9" s="42" t="str">
        <x:v>Recovery requirements are not consistently linked to technical tests</x:v>
      </x:c>
      <x:c r="G9" s="42" t="str">
        <x:v>Recovery may not meet business expectations</x:v>
      </x:c>
      <x:c r="H9" s="42" t="str">
        <x:v>High</x:v>
      </x:c>
      <x:c r="I9" s="42" t="str">
        <x:v>Document RTO/RPO by critical service and perform restore testing</x:v>
      </x:c>
      <x:c r="J9" s="42" t="str">
        <x:v>BCM Owner</x:v>
      </x:c>
      <x:c r="K9" s="62" t="str">
        <x:v>2026-11-30</x:v>
      </x:c>
      <x:c r="L9" s="42" t="str">
        <x:v>Open</x:v>
      </x:c>
    </x:row>
    <x:row r="10">
      <x:c r="A10" s="42" t="str">
        <x:v>F-07</x:v>
      </x:c>
      <x:c r="B10" s="42" t="str">
        <x:v>CTRL-10</x:v>
      </x:c>
      <x:c r="C10" s="42" t="str">
        <x:v>R-10</x:v>
      </x:c>
      <x:c r="D10" s="42" t="str">
        <x:v>Vulnerability remediation ageing and risk exceptions are inconsistently tracked</x:v>
      </x:c>
      <x:c r="E10" s="42" t="str">
        <x:v>Vulnerabilities should be assessed and addressed according to risk</x:v>
      </x:c>
      <x:c r="F10" s="42" t="str">
        <x:v>No consistent SLA/exception workflow</x:v>
      </x:c>
      <x:c r="G10" s="42" t="str">
        <x:v>Known vulnerabilities may remain exploitable</x:v>
      </x:c>
      <x:c r="H10" s="42" t="str">
        <x:v>High</x:v>
      </x:c>
      <x:c r="I10" s="42" t="str">
        <x:v>Implement severity-based remediation SLA and risk-acceptance workflow</x:v>
      </x:c>
      <x:c r="J10" s="42" t="str">
        <x:v>Vulnerability Owner</x:v>
      </x:c>
      <x:c r="K10" s="62" t="str">
        <x:v>2026-10-31</x:v>
      </x:c>
      <x:c r="L10" s="42" t="str">
        <x:v>Open</x:v>
      </x:c>
    </x:row>
    <x:row r="11">
      <x:c r="A11" s="42" t="str">
        <x:v>F-08</x:v>
      </x:c>
      <x:c r="B11" s="42" t="str">
        <x:v>CTRL-11</x:v>
      </x:c>
      <x:c r="C11" s="42" t="str">
        <x:v>R-11</x:v>
      </x:c>
      <x:c r="D11" s="42" t="str">
        <x:v>Logging coverage and retention are not formally mapped</x:v>
      </x:c>
      <x:c r="E11" s="42" t="str">
        <x:v>Relevant security events should be logged and protected</x:v>
      </x:c>
      <x:c r="F11" s="42" t="str">
        <x:v>No central logging coverage matrix</x:v>
      </x:c>
      <x:c r="G11" s="42" t="str">
        <x:v>Investigations may lack necessary evidence</x:v>
      </x:c>
      <x:c r="H11" s="42" t="str">
        <x:v>Medium</x:v>
      </x:c>
      <x:c r="I11" s="42" t="str">
        <x:v>Create logging-source matrix with owner and retention requirement</x:v>
      </x:c>
      <x:c r="J11" s="42" t="str">
        <x:v>Security Operations</x:v>
      </x:c>
      <x:c r="K11" s="62" t="str">
        <x:v>2026-11-30</x:v>
      </x:c>
      <x:c r="L11" s="42" t="str">
        <x:v>Open</x:v>
      </x:c>
    </x:row>
  </x:sheetData>
  <x:mergeCells>
    <x:mergeCell ref="A1:L1"/>
  </x:mergeCells>
  <x:conditionalFormatting sqref="H4:H11">
    <x:cfRule type="expression" dxfId="11" priority="1">
      <x:formula>H4="High"</x:formula>
    </x:cfRule>
    <x:cfRule type="expression" dxfId="12" priority="2">
      <x:formula>H4="Medium"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582e077cf94b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14" hidden="0" customWidth="1"/>
    <x:col min="5" max="5" width="12" hidden="0" customWidth="1"/>
    <x:col min="6" max="6" width="12" hidden="0" customWidth="1"/>
    <x:col min="7" max="7" width="34" hidden="0" customWidth="1"/>
  </x:cols>
  <x:sheetData>
    <x:row r="1" ht="28" customHeight="1">
      <x:c r="A1" s="82" t="str">
        <x:v>Remediation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3" ht="24" customHeight="1">
      <x:c r="A3" s="37" t="str">
        <x:v>Action</x:v>
      </x:c>
      <x:c r="B3" s="37" t="str">
        <x:v>Related Finding/Risk</x:v>
      </x:c>
      <x:c r="C3" s="37" t="str">
        <x:v>Owner</x:v>
      </x:c>
      <x:c r="D3" s="37" t="str">
        <x:v>Target</x:v>
      </x:c>
      <x:c r="E3" s="37" t="str">
        <x:v>Priority</x:v>
      </x:c>
      <x:c r="F3" s="37" t="str">
        <x:v>Status</x:v>
      </x:c>
      <x:c r="G3" s="37" t="str">
        <x:v>Validation</x:v>
      </x:c>
    </x:row>
    <x:row r="4">
      <x:c r="A4" s="42" t="str">
        <x:v>Annual policy review workflow</x:v>
      </x:c>
      <x:c r="B4" s="42" t="str">
        <x:v>F-01 / R-01</x:v>
      </x:c>
      <x:c r="C4" s="42" t="str">
        <x:v>ISMS Owner</x:v>
      </x:c>
      <x:c r="D4" s="62" t="str">
        <x:v>2026-10-31</x:v>
      </x:c>
      <x:c r="E4" s="42" t="str">
        <x:v>High</x:v>
      </x:c>
      <x:c r="F4" s="42" t="str">
        <x:v>Open</x:v>
      </x:c>
      <x:c r="G4" s="42" t="str">
        <x:v>Approved workflow + sample review</x:v>
      </x:c>
    </x:row>
    <x:row r="5">
      <x:c r="A5" s="42" t="str">
        <x:v>Quarterly access certification</x:v>
      </x:c>
      <x:c r="B5" s="42" t="str">
        <x:v>F-03 / R-03</x:v>
      </x:c>
      <x:c r="C5" s="42" t="str">
        <x:v>IAM Owner</x:v>
      </x:c>
      <x:c r="D5" s="62" t="str">
        <x:v>2026-10-31</x:v>
      </x:c>
      <x:c r="E5" s="42" t="str">
        <x:v>High</x:v>
      </x:c>
      <x:c r="F5" s="42" t="str">
        <x:v>Open</x:v>
      </x:c>
      <x:c r="G5" s="42" t="str">
        <x:v>Sample review with evidence</x:v>
      </x:c>
    </x:row>
    <x:row r="6">
      <x:c r="A6" s="42" t="str">
        <x:v>Vulnerability SLA tracking</x:v>
      </x:c>
      <x:c r="B6" s="42" t="str">
        <x:v>F-07 / R-10</x:v>
      </x:c>
      <x:c r="C6" s="42" t="str">
        <x:v>Vulnerability Owner</x:v>
      </x:c>
      <x:c r="D6" s="62" t="str">
        <x:v>2026-10-31</x:v>
      </x:c>
      <x:c r="E6" s="42" t="str">
        <x:v>High</x:v>
      </x:c>
      <x:c r="F6" s="42" t="str">
        <x:v>Open</x:v>
      </x:c>
      <x:c r="G6" s="42" t="str">
        <x:v>Ageing report + exceptions</x:v>
      </x:c>
    </x:row>
    <x:row r="7">
      <x:c r="A7" s="42" t="str">
        <x:v>Centralize offboarding evidence</x:v>
      </x:c>
      <x:c r="B7" s="42" t="str">
        <x:v>R-04</x:v>
      </x:c>
      <x:c r="C7" s="42" t="str">
        <x:v>IT Operations</x:v>
      </x:c>
      <x:c r="D7" s="62" t="str">
        <x:v>2026-10-31</x:v>
      </x:c>
      <x:c r="E7" s="42" t="str">
        <x:v>High</x:v>
      </x:c>
      <x:c r="F7" s="42" t="str">
        <x:v>Open</x:v>
      </x:c>
      <x:c r="G7" s="42" t="str">
        <x:v>Sample leaver ticket trail</x:v>
      </x:c>
    </x:row>
    <x:row r="8">
      <x:c r="A8" s="42" t="str">
        <x:v>Risk-based vendor due diligence</x:v>
      </x:c>
      <x:c r="B8" s="42" t="str">
        <x:v>F-04 / R-05</x:v>
      </x:c>
      <x:c r="C8" s="42" t="str">
        <x:v>Procurement + Security</x:v>
      </x:c>
      <x:c r="D8" s="62" t="str">
        <x:v>2026-11-30</x:v>
      </x:c>
      <x:c r="E8" s="42" t="str">
        <x:v>High</x:v>
      </x:c>
      <x:c r="F8" s="42" t="str">
        <x:v>Open</x:v>
      </x:c>
      <x:c r="G8" s="42" t="str">
        <x:v>Completed critical-vendor review</x:v>
      </x:c>
    </x:row>
    <x:row r="9">
      <x:c r="A9" s="42" t="str">
        <x:v>Cloud responsibility matrix</x:v>
      </x:c>
      <x:c r="B9" s="42" t="str">
        <x:v>F-05 / R-06</x:v>
      </x:c>
      <x:c r="C9" s="42" t="str">
        <x:v>Cloud Owner</x:v>
      </x:c>
      <x:c r="D9" s="62" t="str">
        <x:v>2026-11-30</x:v>
      </x:c>
      <x:c r="E9" s="42" t="str">
        <x:v>High</x:v>
      </x:c>
      <x:c r="F9" s="42" t="str">
        <x:v>Open</x:v>
      </x:c>
      <x:c r="G9" s="42" t="str">
        <x:v>Approved control matrix</x:v>
      </x:c>
    </x:row>
    <x:row r="10">
      <x:c r="A10" s="42" t="str">
        <x:v>RTO/RPO + restore testing</x:v>
      </x:c>
      <x:c r="B10" s="42" t="str">
        <x:v>F-06 / R-08</x:v>
      </x:c>
      <x:c r="C10" s="42" t="str">
        <x:v>BCM Owner</x:v>
      </x:c>
      <x:c r="D10" s="62" t="str">
        <x:v>2026-11-30</x:v>
      </x:c>
      <x:c r="E10" s="42" t="str">
        <x:v>High</x:v>
      </x:c>
      <x:c r="F10" s="42" t="str">
        <x:v>Open</x:v>
      </x:c>
      <x:c r="G10" s="42" t="str">
        <x:v>Restore test evidence</x:v>
      </x:c>
    </x:row>
    <x:row r="11">
      <x:c r="A11" s="42" t="str">
        <x:v>Logging coverage matrix</x:v>
      </x:c>
      <x:c r="B11" s="42" t="str">
        <x:v>F-08 / R-11</x:v>
      </x:c>
      <x:c r="C11" s="42" t="str">
        <x:v>Security Operations</x:v>
      </x:c>
      <x:c r="D11" s="62" t="str">
        <x:v>2026-11-30</x:v>
      </x:c>
      <x:c r="E11" s="42" t="str">
        <x:v>Medium</x:v>
      </x:c>
      <x:c r="F11" s="42" t="str">
        <x:v>Open</x:v>
      </x:c>
      <x:c r="G11" s="42" t="str">
        <x:v>Coverage and retention review</x:v>
      </x:c>
    </x:row>
    <x:row r="12">
      <x:c r="A12" s="42" t="str">
        <x:v>Monitoring escalation coverage</x:v>
      </x:c>
      <x:c r="B12" s="42" t="str">
        <x:v>R-12</x:v>
      </x:c>
      <x:c r="C12" s="42" t="str">
        <x:v>Security Operations</x:v>
      </x:c>
      <x:c r="D12" s="62" t="str">
        <x:v>2026-11-30</x:v>
      </x:c>
      <x:c r="E12" s="42" t="str">
        <x:v>Medium</x:v>
      </x:c>
      <x:c r="F12" s="42" t="str">
        <x:v>Open</x:v>
      </x:c>
      <x:c r="G12" s="42" t="str">
        <x:v>Escalation procedure</x:v>
      </x:c>
    </x:row>
    <x:row r="13">
      <x:c r="A13" s="42" t="str">
        <x:v>Threat intelligence review</x:v>
      </x:c>
      <x:c r="B13" s="42" t="str">
        <x:v>F-02 / R-02</x:v>
      </x:c>
      <x:c r="C13" s="42" t="str">
        <x:v>Security Lead</x:v>
      </x:c>
      <x:c r="D13" s="62" t="str">
        <x:v>2026-11-15</x:v>
      </x:c>
      <x:c r="E13" s="42" t="str">
        <x:v>Medium</x:v>
      </x:c>
      <x:c r="F13" s="42" t="str">
        <x:v>Open</x:v>
      </x:c>
      <x:c r="G13" s="42" t="str">
        <x:v>Dated review log</x:v>
      </x:c>
    </x:row>
    <x:row r="14">
      <x:c r="A14" s="42" t="str">
        <x:v>Emergency change review</x:v>
      </x:c>
      <x:c r="B14" s="42" t="str">
        <x:v>R-14</x:v>
      </x:c>
      <x:c r="C14" s="42" t="str">
        <x:v>IT Operations</x:v>
      </x:c>
      <x:c r="D14" s="62" t="str">
        <x:v>2026-11-15</x:v>
      </x:c>
      <x:c r="E14" s="42" t="str">
        <x:v>Medium</x:v>
      </x:c>
      <x:c r="F14" s="42" t="str">
        <x:v>Open</x:v>
      </x:c>
      <x:c r="G14" s="42" t="str">
        <x:v>Sample retrospective reviews</x:v>
      </x:c>
    </x:row>
    <x:row r="15">
      <x:c r="A15" s="42" t="str">
        <x:v>Temporary access expiry evidence</x:v>
      </x:c>
      <x:c r="B15" s="42" t="str">
        <x:v>R-15</x:v>
      </x:c>
      <x:c r="C15" s="42" t="str">
        <x:v>IAM Owner</x:v>
      </x:c>
      <x:c r="D15" s="62" t="str">
        <x:v>2026-11-15</x:v>
      </x:c>
      <x:c r="E15" s="42" t="str">
        <x:v>Medium</x:v>
      </x:c>
      <x:c r="F15" s="42" t="str">
        <x:v>Open</x:v>
      </x:c>
      <x:c r="G15" s="42" t="str">
        <x:v>Expired-account evidence</x:v>
      </x:c>
    </x:row>
    <x:row r="16">
      <x:c r="A16" s="42" t="str">
        <x:v>Incident-response tabletop</x:v>
      </x:c>
      <x:c r="B16" s="42" t="str">
        <x:v>R-07</x:v>
      </x:c>
      <x:c r="C16" s="42" t="str">
        <x:v>Security Lead</x:v>
      </x:c>
      <x:c r="D16" s="62" t="str">
        <x:v>2026-12-15</x:v>
      </x:c>
      <x:c r="E16" s="42" t="str">
        <x:v>Medium</x:v>
      </x:c>
      <x:c r="F16" s="42" t="str">
        <x:v>Open</x:v>
      </x:c>
      <x:c r="G16" s="42" t="str">
        <x:v>Tabletop report</x:v>
      </x:c>
    </x:row>
    <x:row r="17">
      <x:c r="A17" s="42" t="str">
        <x:v>Role-based awareness</x:v>
      </x:c>
      <x:c r="B17" s="42" t="str">
        <x:v>R-09</x:v>
      </x:c>
      <x:c r="C17" s="42" t="str">
        <x:v>HR + Security</x:v>
      </x:c>
      <x:c r="D17" s="62" t="str">
        <x:v>2026-12-15</x:v>
      </x:c>
      <x:c r="E17" s="42" t="str">
        <x:v>Medium</x:v>
      </x:c>
      <x:c r="F17" s="42" t="str">
        <x:v>Open</x:v>
      </x:c>
      <x:c r="G17" s="42" t="str">
        <x:v>Training completion</x:v>
      </x:c>
    </x:row>
    <x:row r="18">
      <x:c r="A18" s="42" t="str">
        <x:v>Cryptographic standards</x:v>
      </x:c>
      <x:c r="B18" s="42" t="str">
        <x:v>R-13</x:v>
      </x:c>
      <x:c r="C18" s="42" t="str">
        <x:v>Cloud Owner</x:v>
      </x:c>
      <x:c r="D18" s="62" t="str">
        <x:v>2026-12-15</x:v>
      </x:c>
      <x:c r="E18" s="42" t="str">
        <x:v>Low</x:v>
      </x:c>
      <x:c r="F18" s="42" t="str">
        <x:v>Open</x:v>
      </x:c>
      <x:c r="G18" s="42" t="str">
        <x:v>Approved crypto standard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d5b782a6f284ef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Scope, Assumptions &amp; Notes</x:v>
      </x:c>
    </x:row>
    <x:row r="3" ht="28" customHeight="1">
      <x:c r="A3" s="75" t="str">
        <x:v>Item</x:v>
      </x:c>
      <x:c r="B3" s="75" t="str">
        <x:v>Details</x:v>
      </x:c>
    </x:row>
    <x:row r="4" ht="28" customHeight="1">
      <x:c r="A4" s="70" t="str">
        <x:v>Organization</x:v>
      </x:c>
      <x:c r="B4" s="42" t="str">
        <x:v>Northstar Cloud Services Pvt. Ltd. (fictional)</x:v>
      </x:c>
    </x:row>
    <x:row r="5" ht="28" customHeight="1">
      <x:c r="A5" s="70" t="str">
        <x:v>Assessment period</x:v>
      </x:c>
      <x:c r="B5" s="42" t="str">
        <x:v>Q3 2026</x:v>
      </x:c>
    </x:row>
    <x:row r="6" ht="28" customHeight="1">
      <x:c r="A6" s="70" t="str">
        <x:v>Assessment type</x:v>
      </x:c>
      <x:c r="B6" s="42" t="str">
        <x:v>Simulated internal ISO/IEC 27001:2022 gap assessment</x:v>
      </x:c>
    </x:row>
    <x:row r="7" ht="28" customHeight="1">
      <x:c r="A7" s="70" t="str">
        <x:v>In scope</x:v>
      </x:c>
      <x:c r="B7" s="42" t="str">
        <x:v>ISMS governance, IAM, cloud, vulnerability management, logging/monitoring, incident preparation, BCP/ICT readiness, awareness, cryptography, supplier evidence</x:v>
      </x:c>
    </x:row>
    <x:row r="8" ht="28" customHeight="1">
      <x:c r="A8" s="70" t="str">
        <x:v>Technology assumptions</x:v>
      </x:c>
      <x:c r="B8" s="42" t="str">
        <x:v>Cloud SaaS, Microsoft 365, central IdP, endpoint management, CI/CD, SIEM, ticketing, third-party SaaS</x:v>
      </x:c>
    </x:row>
    <x:row r="9" ht="28" customHeight="1">
      <x:c r="A9" s="70" t="str">
        <x:v>Information types</x:v>
      </x:c>
      <x:c r="B9" s="42" t="str">
        <x:v>Customer data, authentication information, source code, security logs, internal policies, public information</x:v>
      </x:c>
    </x:row>
    <x:row r="10" ht="28" customHeight="1">
      <x:c r="A10" s="70" t="str">
        <x:v>Out of scope</x:v>
      </x:c>
      <x:c r="B10" s="42" t="str">
        <x:v>Provider-only physical controls, formal certification audit, financial controls, legal interpretation, penetration testing</x:v>
      </x:c>
    </x:row>
    <x:row r="11" ht="28" customHeight="1">
      <x:c r="A11" s="70" t="str">
        <x:v>Assessment rule</x:v>
      </x:c>
      <x:c r="B11" s="42" t="str">
        <x:v>Missing evidence is recorded as Not Evidenced; a control is not assumed effective without support.</x:v>
      </x:c>
    </x:row>
    <x:row r="12" ht="28" customHeight="1">
      <x:c r="A12" s="70" t="str">
        <x:v>Risk scoring</x:v>
      </x:c>
      <x:c r="B12" s="42" t="str">
        <x:v>Likelihood × Impact, 1–5. Inherent and residual scores are calculated in the workbook.</x:v>
      </x:c>
    </x:row>
    <x:row r="13" ht="28" customHeight="1">
      <x:c r="A13" s="79" t="str">
        <x:v>Limitation</x:v>
      </x:c>
      <x:c r="B13" s="79" t="str">
        <x:v>All facts, evidence and results are synthetic and exist only for portfolio practice.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5" hidden="0" customWidth="1"/>
    <x:col min="4" max="4" width="48" hidden="0" customWidth="1"/>
  </x:cols>
  <x:sheetData>
    <x:row r="1" ht="28" customHeight="1">
      <x:c r="A1" s="5" t="str">
        <x:v>Reference Sources</x:v>
      </x:c>
    </x:row>
    <x:row r="3" ht="24" customHeight="1">
      <x:c r="A3" s="37" t="str">
        <x:v>Source</x:v>
      </x:c>
      <x:c r="B3" s="37" t="str">
        <x:v>Use in Project</x:v>
      </x:c>
      <x:c r="C3" s="37" t="str">
        <x:v>URL</x:v>
      </x:c>
      <x:c r="D3" s="37" t="str">
        <x:v>Note</x:v>
      </x:c>
    </x:row>
    <x:row r="4">
      <x:c r="A4" s="42" t="str">
        <x:v>ISO/IEC 27001 overview</x:v>
      </x:c>
      <x:c r="B4" s="42" t="str">
        <x:v>Framework reference</x:v>
      </x:c>
      <x:c r="C4" s="42" t="str">
        <x:v>https://www.iso.org/standard/27001</x:v>
      </x:c>
      <x:c r="D4" s="42" t="str">
        <x:v>Portfolio uses selected Annex A themes.</x:v>
      </x:c>
    </x:row>
    <x:row r="5">
      <x:c r="A5" s="42" t="str">
        <x:v>NIST Cybersecurity Framework 2.0</x:v>
      </x:c>
      <x:c r="B5" s="42" t="str">
        <x:v>Supporting risk/governance context</x:v>
      </x:c>
      <x:c r="C5" s="42" t="str">
        <x:v>https://www.nist.gov/cyberframework</x:v>
      </x:c>
      <x:c r="D5" s="42" t="str">
        <x:v>Used only as supporting context, not as the primary framework.</x:v>
      </x:c>
    </x:row>
    <x:row r="6">
      <x:c r="A6" s="42" t="str">
        <x:v>CIS Controls</x:v>
      </x:c>
      <x:c r="B6" s="42" t="str">
        <x:v>Supporting control context</x:v>
      </x:c>
      <x:c r="C6" s="42" t="str">
        <x:v>https://www.cisecurity.org/controls</x:v>
      </x:c>
      <x:c r="D6" s="42" t="str">
        <x:v>Used only for practical control interpretation.</x:v>
      </x:c>
    </x:row>
    <x:row r="7">
      <x:c r="A7" s="42" t="str">
        <x:v>Portfolio limitation</x:v>
      </x:c>
      <x:c r="B7" s="42" t="str">
        <x:v>All results are simulated</x:v>
      </x:c>
      <x:c r="C7" s="42" t="str"/>
      <x:c r="D7" s="42" t="str">
        <x:v>No real client, employer or confidential data is used.</x:v>
      </x:c>
    </x:row>
  </x:sheetData>
  <x:mergeCells>
    <x:mergeCell ref="A1:D1"/>
  </x:mergeCells>
  <x:pageMargins left="0.7" right="0.7" top="0.75" bottom="0.75" header="0.3" footer="0.3"/>
</x:worksheet>
</file>