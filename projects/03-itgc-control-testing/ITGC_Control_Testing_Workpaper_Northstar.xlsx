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10d8410ffe44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5b434816272546cc"/>
    <x:sheet xmlns:r="http://schemas.openxmlformats.org/officeDocument/2006/relationships" name="Control Matrix" sheetId="2" r:id="R3c949db3dbff4f86"/>
    <x:sheet xmlns:r="http://schemas.openxmlformats.org/officeDocument/2006/relationships" name="ITGC Testing" sheetId="3" r:id="Ref8f6ca04efc4e47"/>
    <x:sheet xmlns:r="http://schemas.openxmlformats.org/officeDocument/2006/relationships" name="Findings" sheetId="4" r:id="R6348f7bb43ab49e7"/>
    <x:sheet xmlns:r="http://schemas.openxmlformats.org/officeDocument/2006/relationships" name="Remediation" sheetId="5" r:id="R1240aac8ae7d4640"/>
    <x:sheet xmlns:r="http://schemas.openxmlformats.org/officeDocument/2006/relationships" name="Evidence Index" sheetId="6" r:id="R47d68839fd424752"/>
    <x:sheet xmlns:r="http://schemas.openxmlformats.org/officeDocument/2006/relationships" name="Dashboard" sheetId="7" r:id="R94ef4a6beefd4259"/>
    <x:sheet xmlns:r="http://schemas.openxmlformats.org/officeDocument/2006/relationships" name="Lists" sheetId="8" r:id="Re30596128e7343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6609ec2b2141eb" /><Relationship Type="http://schemas.openxmlformats.org/officeDocument/2006/relationships/theme" Target="/xl/theme/theme1.xml" Id="R737a2f4ca2fb4a92" /><Relationship Type="http://schemas.openxmlformats.org/officeDocument/2006/relationships/sharedStrings" Target="/xl/sharedStrings.xml" Id="R7d6cb2f7de5c47a4" /><Relationship Type="http://schemas.openxmlformats.org/officeDocument/2006/relationships/worksheet" Target="/xl/worksheets/sheet1.xml" Id="R5b434816272546cc" /><Relationship Type="http://schemas.openxmlformats.org/officeDocument/2006/relationships/worksheet" Target="/xl/worksheets/sheet2.xml" Id="R3c949db3dbff4f86" /><Relationship Type="http://schemas.openxmlformats.org/officeDocument/2006/relationships/worksheet" Target="/xl/worksheets/sheet3.xml" Id="Ref8f6ca04efc4e47" /><Relationship Type="http://schemas.openxmlformats.org/officeDocument/2006/relationships/worksheet" Target="/xl/worksheets/sheet4.xml" Id="R6348f7bb43ab49e7" /><Relationship Type="http://schemas.openxmlformats.org/officeDocument/2006/relationships/worksheet" Target="/xl/worksheets/sheet5.xml" Id="R1240aac8ae7d4640" /><Relationship Type="http://schemas.openxmlformats.org/officeDocument/2006/relationships/worksheet" Target="/xl/worksheets/sheet6.xml" Id="R47d68839fd424752" /><Relationship Type="http://schemas.openxmlformats.org/officeDocument/2006/relationships/worksheet" Target="/xl/worksheets/sheet7.xml" Id="R94ef4a6beefd4259" /><Relationship Type="http://schemas.openxmlformats.org/officeDocument/2006/relationships/worksheet" Target="/xl/worksheets/sheet8.xml" Id="Re30596128e73436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d5d0148264b4cd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ITGC Test Results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'Dashboard'!$D$4:$D$6</c:f>
              <c:strCache>
                <c:ptCount val="0"/>
              </c:strCache>
            </c:strRef>
          </c:cat>
          <c:val>
            <c:numRef>
              <c:f>'Dashboard'!$E$4:$E$6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11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d5d0148264b4cd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ITGCControlMatrix" displayName="ITGCControlMatrix" ref="A1:M13" headerRowCount="1" totalsRowCount="0" totalsRowShown="0">
  <x:tableColumns count="13">
    <x:tableColumn id="1" name="Control ID"/>
    <x:tableColumn id="2" name="Domain"/>
    <x:tableColumn id="3" name="Risk"/>
    <x:tableColumn id="4" name="Control Objective"/>
    <x:tableColumn id="5" name="Control Description"/>
    <x:tableColumn id="6" name="Owner"/>
    <x:tableColumn id="7" name="Frequency"/>
    <x:tableColumn id="8" name="Type"/>
    <x:tableColumn id="9" name="Population"/>
    <x:tableColumn id="10" name="ToD Result"/>
    <x:tableColumn id="11" name="ToE Result"/>
    <x:tableColumn id="12" name="Overall Result"/>
    <x:tableColumn id="13" name="Evidence 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TGCTestTable" displayName="ITGCTestTable" ref="A1:N11" headerRowCount="1" totalsRowCount="0" totalsRowShown="0">
  <x:tableColumns count="14">
    <x:tableColumn id="1" name="Test ID"/>
    <x:tableColumn id="2" name="Control ID"/>
    <x:tableColumn id="3" name="Domain"/>
    <x:tableColumn id="4" name="Test Type"/>
    <x:tableColumn id="5" name="Population"/>
    <x:tableColumn id="6" name="Sample Size"/>
    <x:tableColumn id="7" name="Sample Basis"/>
    <x:tableColumn id="8" name="Evidence Reviewed"/>
    <x:tableColumn id="9" name="Test Procedure"/>
    <x:tableColumn id="10" name="Expected Result"/>
    <x:tableColumn id="11" name="Actual Result"/>
    <x:tableColumn id="12" name="Result"/>
    <x:tableColumn id="13" name="Exception / Observation"/>
    <x:tableColumn id="14" name="Tester Conclus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ndingsTable" displayName="FindingsTable" ref="A1:M5" headerRowCount="1" totalsRowCount="0" totalsRowShown="0">
  <x:tableColumns count="13">
    <x:tableColumn id="1" name="Finding ID"/>
    <x:tableColumn id="2" name="Control ID"/>
    <x:tableColumn id="3" name="Area"/>
    <x:tableColumn id="4" name="Condition"/>
    <x:tableColumn id="5" name="Criteria"/>
    <x:tableColumn id="6" name="Cause"/>
    <x:tableColumn id="7" name="Impact"/>
    <x:tableColumn id="8" name="Risk"/>
    <x:tableColumn id="9" name="Recommendation"/>
    <x:tableColumn id="10" name="Owner"/>
    <x:tableColumn id="11" name="Due Date"/>
    <x:tableColumn id="12" name="Status"/>
    <x:tableColumn id="13" name="Severity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mediationTable" displayName="RemediationTable" ref="A1:J5" headerRowCount="1" totalsRowCount="0" totalsRowShown="0">
  <x:tableColumns count="10">
    <x:tableColumn id="1" name="Action ID"/>
    <x:tableColumn id="2" name="Finding ID"/>
    <x:tableColumn id="3" name="Action"/>
    <x:tableColumn id="4" name="Owner"/>
    <x:tableColumn id="5" name="Priority"/>
    <x:tableColumn id="6" name="Target Date"/>
    <x:tableColumn id="7" name="Status"/>
    <x:tableColumn id="8" name="Evidence Required"/>
    <x:tableColumn id="9" name="Validation Result"/>
    <x:tableColumn id="10" name="Closure Criteria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videnceTable" displayName="EvidenceTable" ref="A1:I13" headerRowCount="1" totalsRowCount="0" totalsRowShown="0">
  <x:tableColumns count="9">
    <x:tableColumn id="1" name="Evidence ID"/>
    <x:tableColumn id="2" name="Control ID"/>
    <x:tableColumn id="3" name="Evidence Name"/>
    <x:tableColumn id="4" name="Evidence Owner"/>
    <x:tableColumn id="5" name="Period"/>
    <x:tableColumn id="6" name="Source / Location"/>
    <x:tableColumn id="7" name="Evidence Quality"/>
    <x:tableColumn id="8" name="Result"/>
    <x:tableColumn id="9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98a6b87eb23431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7d12e4b65a043c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dc69b2b1399421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14bcd670ecc4db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e71fd8b4fd244b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8da63fcbfa8f4408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s="28" t="str">
        <x:v>ITGC Control Testing — Northstar Cloud Services Pvt. Ltd.</x:v>
      </x:c>
      <x:c r="B1" s="28"/>
      <x:c r="C1" s="28"/>
      <x:c r="D1" s="28"/>
      <x:c r="E1" s="28"/>
      <x:c r="F1" s="28"/>
    </x:row>
    <x:row r="2">
      <x:c r="A2" s="24"/>
      <x:c r="B2" s="24"/>
      <x:c r="C2" s="24"/>
      <x:c r="D2" s="24"/>
      <x:c r="E2" s="24"/>
      <x:c r="F2" s="24"/>
    </x:row>
    <x:row r="3">
      <x:c r="A3" s="32" t="str">
        <x:v>Assessment type</x:v>
      </x:c>
      <x:c r="B3" s="24" t="str">
        <x:v>Simulated internal audit / portfolio project</x:v>
      </x:c>
      <x:c r="C3" s="24"/>
      <x:c r="D3" s="24"/>
      <x:c r="E3" s="24"/>
      <x:c r="F3" s="24"/>
    </x:row>
    <x:row r="4">
      <x:c r="A4" s="32" t="str">
        <x:v>Organization</x:v>
      </x:c>
      <x:c r="B4" s="24" t="str">
        <x:v>Northstar Cloud Services Pvt. Ltd. (fictional)</x:v>
      </x:c>
      <x:c r="C4" s="24"/>
      <x:c r="D4" s="24"/>
      <x:c r="E4" s="24"/>
      <x:c r="F4" s="24"/>
    </x:row>
    <x:row r="5">
      <x:c r="A5" s="32" t="str">
        <x:v>Assessment period</x:v>
      </x:c>
      <x:c r="B5" s="24" t="str">
        <x:v>Q3 2026</x:v>
      </x:c>
      <x:c r="C5" s="24"/>
      <x:c r="D5" s="24"/>
      <x:c r="E5" s="24"/>
      <x:c r="F5" s="24"/>
    </x:row>
    <x:row r="6">
      <x:c r="A6" s="32" t="str">
        <x:v>Scope</x:v>
      </x:c>
      <x:c r="B6" s="24" t="str">
        <x:v>Logical access, change management, backup &amp; IT operations</x:v>
      </x:c>
      <x:c r="C6" s="24"/>
      <x:c r="D6" s="24"/>
      <x:c r="E6" s="24"/>
      <x:c r="F6" s="24"/>
    </x:row>
    <x:row r="7">
      <x:c r="A7" s="32" t="str">
        <x:v>Objective</x:v>
      </x:c>
      <x:c r="B7" s="24" t="str">
        <x:v>Evaluate selected ITGCs through Test of Design (ToD) and Test of Effectiveness (ToE)</x:v>
      </x:c>
      <x:c r="C7" s="24"/>
      <x:c r="D7" s="24"/>
      <x:c r="E7" s="24"/>
      <x:c r="F7" s="24"/>
    </x:row>
    <x:row r="8">
      <x:c r="A8" s="32" t="str">
        <x:v>Testing basis</x:v>
      </x:c>
      <x:c r="B8" s="24" t="str">
        <x:v>Synthetic populations and simulated evidence</x:v>
      </x:c>
      <x:c r="C8" s="24"/>
      <x:c r="D8" s="24"/>
      <x:c r="E8" s="24"/>
      <x:c r="F8" s="24"/>
    </x:row>
    <x:row r="9">
      <x:c r="A9" s="32" t="str">
        <x:v>Result convention</x:v>
      </x:c>
      <x:c r="B9" s="24" t="str">
        <x:v>Pass = no exception identified; Fail = exception identified</x:v>
      </x:c>
      <x:c r="C9" s="24"/>
      <x:c r="D9" s="24"/>
      <x:c r="E9" s="24"/>
      <x:c r="F9" s="24"/>
    </x:row>
    <x:row r="10">
      <x:c r="A10" s="32" t="str">
        <x:v>Important limitation</x:v>
      </x:c>
      <x:c r="B10" s="24" t="str">
        <x:v>Not a certification audit and not evidence of real client experience</x:v>
      </x:c>
      <x:c r="C10" s="24"/>
      <x:c r="D10" s="24"/>
      <x:c r="E10" s="24"/>
      <x:c r="F10" s="24"/>
    </x:row>
    <x:row r="11">
      <x:c r="A11" s="24"/>
      <x:c r="B11" s="24"/>
      <x:c r="C11" s="24"/>
      <x:c r="D11" s="24"/>
      <x:c r="E11" s="24"/>
      <x:c r="F11" s="24"/>
    </x:row>
    <x:row r="12">
      <x:c r="A12" s="29" t="str">
        <x:v>Audit workflow</x:v>
      </x:c>
      <x:c r="B12" s="29"/>
      <x:c r="C12" s="29"/>
      <x:c r="D12" s="29"/>
      <x:c r="E12" s="29"/>
      <x:c r="F12" s="29"/>
    </x:row>
    <x:row r="13">
      <x:c r="A13" s="18" t="str">
        <x:v>Planning</x:v>
      </x:c>
      <x:c r="B13" s="18" t="str">
        <x:v>Risk &amp; Control Mapping</x:v>
      </x:c>
      <x:c r="C13" s="18" t="str">
        <x:v>Population / Sample</x:v>
      </x:c>
      <x:c r="D13" s="18" t="str">
        <x:v>Evidence Review</x:v>
      </x:c>
      <x:c r="E13" s="18" t="str">
        <x:v>ToD / ToE Testing</x:v>
      </x:c>
      <x:c r="F13" s="18" t="str">
        <x:v>Findings &amp; Remediation</x:v>
      </x:c>
    </x:row>
    <x:row r="14">
      <x:c r="A14" s="24"/>
      <x:c r="B14" s="24"/>
      <x:c r="C14" s="24"/>
      <x:c r="D14" s="24"/>
      <x:c r="E14" s="24"/>
      <x:c r="F14" s="24"/>
    </x:row>
    <x:row r="15">
      <x:c r="A15" s="24" t="str">
        <x:v>Core concepts</x:v>
      </x:c>
      <x:c r="B15" s="24" t="str"/>
      <x:c r="C15" s="24" t="str"/>
      <x:c r="D15" s="24" t="str"/>
      <x:c r="E15" s="24" t="str"/>
      <x:c r="F15" s="24" t="str"/>
    </x:row>
    <x:row r="16">
      <x:c r="A16" s="24" t="str">
        <x:v>ToD</x:v>
      </x:c>
      <x:c r="B16" s="24" t="str">
        <x:v>Does the control design address the stated risk?</x:v>
      </x:c>
      <x:c r="C16" s="24" t="str"/>
      <x:c r="D16" s="24" t="str"/>
      <x:c r="E16" s="24" t="str"/>
      <x:c r="F16" s="24" t="str"/>
    </x:row>
    <x:row r="17">
      <x:c r="A17" s="24" t="str">
        <x:v>ToE</x:v>
      </x:c>
      <x:c r="B17" s="24" t="str">
        <x:v>Did the control operate as intended during the period tested?</x:v>
      </x:c>
      <x:c r="C17" s="24" t="str"/>
      <x:c r="D17" s="24" t="str"/>
      <x:c r="E17" s="24" t="str"/>
      <x:c r="F17" s="24" t="str"/>
    </x:row>
    <x:row r="18">
      <x:c r="A18" s="24" t="str">
        <x:v>Evidence quality</x:v>
      </x:c>
      <x:c r="B18" s="24" t="str">
        <x:v>Is the evidence complete, relevant, attributable, current and traceable?</x:v>
      </x:c>
      <x:c r="C18" s="24" t="str"/>
      <x:c r="D18" s="24" t="str"/>
      <x:c r="E18" s="24" t="str"/>
      <x:c r="F18" s="24" t="str"/>
    </x:row>
    <x:row r="19">
      <x:c r="A19" s="24"/>
      <x:c r="B19" s="24"/>
      <x:c r="C19" s="24"/>
      <x:c r="D19" s="24"/>
      <x:c r="E19" s="24"/>
      <x:c r="F19" s="24"/>
    </x:row>
    <x:row r="20">
      <x:c r="A20" s="29" t="str">
        <x:v>Portfolio deliverables</x:v>
      </x:c>
      <x:c r="B20" s="29" t="str"/>
      <x:c r="C20" s="29" t="str"/>
      <x:c r="D20" s="29" t="str"/>
      <x:c r="E20" s="29" t="str"/>
      <x:c r="F20" s="29" t="str"/>
    </x:row>
    <x:row r="21">
      <x:c r="A21" s="24" t="str">
        <x:v>1</x:v>
      </x:c>
      <x:c r="B21" s="24" t="str">
        <x:v>Control matrix</x:v>
      </x:c>
      <x:c r="C21" s="24" t="str"/>
      <x:c r="D21" s="24" t="str"/>
      <x:c r="E21" s="24" t="str"/>
      <x:c r="F21" s="24" t="str"/>
    </x:row>
    <x:row r="22">
      <x:c r="A22" s="24" t="str">
        <x:v>2</x:v>
      </x:c>
      <x:c r="B22" s="24" t="str">
        <x:v>10 ITGC test workpapers</x:v>
      </x:c>
      <x:c r="C22" s="24" t="str"/>
      <x:c r="D22" s="24" t="str"/>
      <x:c r="E22" s="24" t="str"/>
      <x:c r="F22" s="24" t="str"/>
    </x:row>
    <x:row r="23">
      <x:c r="A23" s="24" t="str">
        <x:v>3</x:v>
      </x:c>
      <x:c r="B23" s="24" t="str">
        <x:v>Findings and remediation tracker</x:v>
      </x:c>
      <x:c r="C23" s="24" t="str"/>
      <x:c r="D23" s="24" t="str"/>
      <x:c r="E23" s="24" t="str"/>
      <x:c r="F23" s="24" t="str"/>
    </x:row>
    <x:row r="24">
      <x:c r="A24" s="24" t="str">
        <x:v>4</x:v>
      </x:c>
      <x:c r="B24" s="24" t="str">
        <x:v>Evidence index and dashboard</x:v>
      </x:c>
      <x:c r="C24" s="24" t="str"/>
      <x:c r="D24" s="24" t="str"/>
      <x:c r="E24" s="24" t="str"/>
      <x:c r="F24" s="24" t="str"/>
    </x:row>
    <x:row r="25">
      <x:c r="A25" s="24"/>
      <x:c r="B25" s="24"/>
      <x:c r="C25" s="24"/>
      <x:c r="D25" s="24"/>
      <x:c r="E25" s="24"/>
      <x:c r="F25" s="24"/>
    </x:row>
  </x:sheetData>
  <x:mergeCells>
    <x:mergeCell ref="A1:F1"/>
    <x:mergeCell ref="A12:F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6" hidden="0" customWidth="1"/>
    <x:col min="3" max="3" width="30" hidden="0" customWidth="1"/>
    <x:col min="4" max="4" width="30" hidden="0" customWidth="1"/>
    <x:col min="5" max="5" width="45" hidden="0" customWidth="1"/>
    <x:col min="6" max="6" width="18" hidden="0" customWidth="1"/>
    <x:col min="7" max="7" width="14" hidden="0" customWidth="1"/>
    <x:col min="8" max="8" width="14" hidden="0" customWidth="1"/>
    <x:col min="9" max="9" width="22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18" t="str">
        <x:v>Control ID</x:v>
      </x:c>
      <x:c r="B1" s="18" t="str">
        <x:v>Domain</x:v>
      </x:c>
      <x:c r="C1" s="18" t="str">
        <x:v>Risk</x:v>
      </x:c>
      <x:c r="D1" s="18" t="str">
        <x:v>Control Objective</x:v>
      </x:c>
      <x:c r="E1" s="18" t="str">
        <x:v>Control Description</x:v>
      </x:c>
      <x:c r="F1" s="18" t="str">
        <x:v>Owner</x:v>
      </x:c>
      <x:c r="G1" s="18" t="str">
        <x:v>Frequency</x:v>
      </x:c>
      <x:c r="H1" s="18" t="str">
        <x:v>Type</x:v>
      </x:c>
      <x:c r="I1" s="18" t="str">
        <x:v>Population</x:v>
      </x:c>
      <x:c r="J1" s="18" t="str">
        <x:v>ToD Result</x:v>
      </x:c>
      <x:c r="K1" s="18" t="str">
        <x:v>ToE Result</x:v>
      </x:c>
      <x:c r="L1" s="18" t="str">
        <x:v>Overall Result</x:v>
      </x:c>
      <x:c r="M1" s="18" t="str">
        <x:v>Evidence ID</x:v>
      </x:c>
    </x:row>
    <x:row r="2">
      <x:c r="A2" s="24" t="str">
        <x:v>ITGC-01</x:v>
      </x:c>
      <x:c r="B2" s="24" t="str">
        <x:v>Logical Access</x:v>
      </x:c>
      <x:c r="C2" s="24" t="str">
        <x:v>Unauthorized access to business systems</x:v>
      </x:c>
      <x:c r="D2" s="24" t="str">
        <x:v>Access is granted only to approved users with business need</x:v>
      </x:c>
      <x:c r="E2" s="24" t="str">
        <x:v>New access requires approved request and manager/system-owner authorization</x:v>
      </x:c>
      <x:c r="F2" s="24" t="str">
        <x:v>IAM Lead</x:v>
      </x:c>
      <x:c r="G2" s="24" t="str">
        <x:v>Per Request</x:v>
      </x:c>
      <x:c r="H2" s="24" t="str">
        <x:v>Preventive</x:v>
      </x:c>
      <x:c r="I2" s="24" t="str">
        <x:v>12 new-user requests</x:v>
      </x:c>
      <x:c r="J2" s="24" t="str">
        <x:v>Pass</x:v>
      </x:c>
      <x:c r="K2" s="24" t="str">
        <x:v>Pass</x:v>
      </x:c>
      <x:c r="L2" s="24" t="str">
        <x:f>IF(OR(J2="Fail",K2="Fail"),"Fail",IF(OR(J2="Not Tested",K2="Not Tested"),"Not Tested","Pass"))</x:f>
        <x:v>Pass</x:v>
      </x:c>
      <x:c r="M2" s="24" t="str">
        <x:v>EV-01</x:v>
      </x:c>
    </x:row>
    <x:row r="3">
      <x:c r="A3" s="24" t="str">
        <x:v>ITGC-02</x:v>
      </x:c>
      <x:c r="B3" s="24" t="str">
        <x:v>Logical Access</x:v>
      </x:c>
      <x:c r="C3" s="24" t="str">
        <x:v>Excessive or stale access</x:v>
      </x:c>
      <x:c r="D3" s="24" t="str">
        <x:v>Periodic recertification identifies inappropriate access</x:v>
      </x:c>
      <x:c r="E3" s="24" t="str">
        <x:v>Quarterly user-access review is completed by application owners and exceptions are remediated</x:v>
      </x:c>
      <x:c r="F3" s="24" t="str">
        <x:v>IAM Lead</x:v>
      </x:c>
      <x:c r="G3" s="24" t="str">
        <x:v>Quarterly</x:v>
      </x:c>
      <x:c r="H3" s="24" t="str">
        <x:v>Detective</x:v>
      </x:c>
      <x:c r="I3" s="24" t="str">
        <x:v>86 active users</x:v>
      </x:c>
      <x:c r="J3" s="24" t="str">
        <x:v>Pass</x:v>
      </x:c>
      <x:c r="K3" s="24" t="str">
        <x:v>Fail</x:v>
      </x:c>
      <x:c r="L3" s="24" t="str">
        <x:f>IF(OR(J3="Fail",K3="Fail"),"Fail",IF(OR(J3="Not Tested",K3="Not Tested"),"Not Tested","Pass"))</x:f>
        <x:v>Fail</x:v>
      </x:c>
      <x:c r="M3" s="24" t="str">
        <x:v>EV-02</x:v>
      </x:c>
    </x:row>
    <x:row r="4">
      <x:c r="A4" s="24" t="str">
        <x:v>ITGC-03</x:v>
      </x:c>
      <x:c r="B4" s="24" t="str">
        <x:v>Logical Access</x:v>
      </x:c>
      <x:c r="C4" s="24" t="str">
        <x:v>Terminated users retain access</x:v>
      </x:c>
      <x:c r="D4" s="24" t="str">
        <x:v>Leaver access is disabled promptly</x:v>
      </x:c>
      <x:c r="E4" s="24" t="str">
        <x:v>HR termination feed triggers access disablement within defined SLA</x:v>
      </x:c>
      <x:c r="F4" s="24" t="str">
        <x:v>IAM Lead</x:v>
      </x:c>
      <x:c r="G4" s="24" t="str">
        <x:v>Per Request</x:v>
      </x:c>
      <x:c r="H4" s="24" t="str">
        <x:v>Preventive</x:v>
      </x:c>
      <x:c r="I4" s="24" t="str">
        <x:v>7 leavers</x:v>
      </x:c>
      <x:c r="J4" s="24" t="str">
        <x:v>Pass</x:v>
      </x:c>
      <x:c r="K4" s="24" t="str">
        <x:v>Pass</x:v>
      </x:c>
      <x:c r="L4" s="24" t="str">
        <x:f>IF(OR(J4="Fail",K4="Fail"),"Fail",IF(OR(J4="Not Tested",K4="Not Tested"),"Not Tested","Pass"))</x:f>
        <x:v>Pass</x:v>
      </x:c>
      <x:c r="M4" s="24" t="str">
        <x:v>EV-03</x:v>
      </x:c>
    </x:row>
    <x:row r="5">
      <x:c r="A5" s="24" t="str">
        <x:v>ITGC-04</x:v>
      </x:c>
      <x:c r="B5" s="24" t="str">
        <x:v>Privileged Access</x:v>
      </x:c>
      <x:c r="C5" s="24" t="str">
        <x:v>Compromise of admin credentials</x:v>
      </x:c>
      <x:c r="D5" s="24" t="str">
        <x:v>Privileged access is restricted and reviewed</x:v>
      </x:c>
      <x:c r="E5" s="24" t="str">
        <x:v>Admin roles require approval, MFA and periodic review</x:v>
      </x:c>
      <x:c r="F5" s="24" t="str">
        <x:v>Security Lead</x:v>
      </x:c>
      <x:c r="G5" s="24" t="str">
        <x:v>Quarterly</x:v>
      </x:c>
      <x:c r="H5" s="24" t="str">
        <x:v>Preventive</x:v>
      </x:c>
      <x:c r="I5" s="24" t="str">
        <x:v>14 privileged accounts</x:v>
      </x:c>
      <x:c r="J5" s="24" t="str">
        <x:v>Pass</x:v>
      </x:c>
      <x:c r="K5" s="24" t="str">
        <x:v>Fail</x:v>
      </x:c>
      <x:c r="L5" s="24" t="str">
        <x:f>IF(OR(J5="Fail",K5="Fail"),"Fail",IF(OR(J5="Not Tested",K5="Not Tested"),"Not Tested","Pass"))</x:f>
        <x:v>Fail</x:v>
      </x:c>
      <x:c r="M5" s="24" t="str">
        <x:v>EV-04</x:v>
      </x:c>
    </x:row>
    <x:row r="6">
      <x:c r="A6" s="24" t="str">
        <x:v>ITGC-05</x:v>
      </x:c>
      <x:c r="B6" s="24" t="str">
        <x:v>Change Management</x:v>
      </x:c>
      <x:c r="C6" s="24" t="str">
        <x:v>Unauthorized production change</x:v>
      </x:c>
      <x:c r="D6" s="24" t="str">
        <x:v>Changes are approved and tested before deployment</x:v>
      </x:c>
      <x:c r="E6" s="24" t="str">
        <x:v>Production changes require ticket, approval, test evidence and deployment record</x:v>
      </x:c>
      <x:c r="F6" s="24" t="str">
        <x:v>Engineering Manager</x:v>
      </x:c>
      <x:c r="G6" s="24" t="str">
        <x:v>Per Request</x:v>
      </x:c>
      <x:c r="H6" s="24" t="str">
        <x:v>Preventive</x:v>
      </x:c>
      <x:c r="I6" s="24" t="str">
        <x:v>42 production changes</x:v>
      </x:c>
      <x:c r="J6" s="24" t="str">
        <x:v>Pass</x:v>
      </x:c>
      <x:c r="K6" s="24" t="str">
        <x:v>Pass</x:v>
      </x:c>
      <x:c r="L6" s="24" t="str">
        <x:f>IF(OR(J6="Fail",K6="Fail"),"Fail",IF(OR(J6="Not Tested",K6="Not Tested"),"Not Tested","Pass"))</x:f>
        <x:v>Pass</x:v>
      </x:c>
      <x:c r="M6" s="24" t="str">
        <x:v>EV-05</x:v>
      </x:c>
    </x:row>
    <x:row r="7">
      <x:c r="A7" s="24" t="str">
        <x:v>ITGC-06</x:v>
      </x:c>
      <x:c r="B7" s="24" t="str">
        <x:v>Change Management</x:v>
      </x:c>
      <x:c r="C7" s="24" t="str">
        <x:v>Emergency change bypasses governance</x:v>
      </x:c>
      <x:c r="D7" s="24" t="str">
        <x:v>Emergency changes are authorized and retrospectively reviewed</x:v>
      </x:c>
      <x:c r="E7" s="24" t="str">
        <x:v>Emergency changes require emergency approval and post-implementation review</x:v>
      </x:c>
      <x:c r="F7" s="24" t="str">
        <x:v>Engineering Manager</x:v>
      </x:c>
      <x:c r="G7" s="24" t="str">
        <x:v>Per Request</x:v>
      </x:c>
      <x:c r="H7" s="24" t="str">
        <x:v>Detective</x:v>
      </x:c>
      <x:c r="I7" s="24" t="str">
        <x:v>5 emergency changes</x:v>
      </x:c>
      <x:c r="J7" s="24" t="str">
        <x:v>Pass</x:v>
      </x:c>
      <x:c r="K7" s="24" t="str">
        <x:v>Fail</x:v>
      </x:c>
      <x:c r="L7" s="24" t="str">
        <x:f>IF(OR(J7="Fail",K7="Fail"),"Fail",IF(OR(J7="Not Tested",K7="Not Tested"),"Not Tested","Pass"))</x:f>
        <x:v>Fail</x:v>
      </x:c>
      <x:c r="M7" s="24" t="str">
        <x:v>EV-06</x:v>
      </x:c>
    </x:row>
    <x:row r="8">
      <x:c r="A8" s="24" t="str">
        <x:v>ITGC-07</x:v>
      </x:c>
      <x:c r="B8" s="24" t="str">
        <x:v>Backup &amp; Recovery</x:v>
      </x:c>
      <x:c r="C8" s="24" t="str">
        <x:v>Critical data cannot be restored</x:v>
      </x:c>
      <x:c r="D8" s="24" t="str">
        <x:v>Backups are executed, monitored and restore-tested</x:v>
      </x:c>
      <x:c r="E8" s="24" t="str">
        <x:v>Critical workloads have scheduled backups with failure monitoring and periodic restore testing</x:v>
      </x:c>
      <x:c r="F8" s="24" t="str">
        <x:v>Infrastructure Lead</x:v>
      </x:c>
      <x:c r="G8" s="24" t="str">
        <x:v>Monthly</x:v>
      </x:c>
      <x:c r="H8" s="24" t="str">
        <x:v>Corrective</x:v>
      </x:c>
      <x:c r="I8" s="24" t="str">
        <x:v>31 backup jobs</x:v>
      </x:c>
      <x:c r="J8" s="24" t="str">
        <x:v>Pass</x:v>
      </x:c>
      <x:c r="K8" s="24" t="str">
        <x:v>Pass</x:v>
      </x:c>
      <x:c r="L8" s="24" t="str">
        <x:f>IF(OR(J8="Fail",K8="Fail"),"Fail",IF(OR(J8="Not Tested",K8="Not Tested"),"Not Tested","Pass"))</x:f>
        <x:v>Pass</x:v>
      </x:c>
      <x:c r="M8" s="24" t="str">
        <x:v>EV-07</x:v>
      </x:c>
    </x:row>
    <x:row r="9">
      <x:c r="A9" s="24" t="str">
        <x:v>ITGC-08</x:v>
      </x:c>
      <x:c r="B9" s="24" t="str">
        <x:v>IT Operations</x:v>
      </x:c>
      <x:c r="C9" s="24" t="str">
        <x:v>Failed jobs remain unresolved</x:v>
      </x:c>
      <x:c r="D9" s="24" t="str">
        <x:v>Operational jobs are monitored and exceptions escalated</x:v>
      </x:c>
      <x:c r="E9" s="24" t="str">
        <x:v>Scheduled jobs are monitored with failed runs investigated and tracked</x:v>
      </x:c>
      <x:c r="F9" s="24" t="str">
        <x:v>Operations Lead</x:v>
      </x:c>
      <x:c r="G9" s="24" t="str">
        <x:v>Monthly</x:v>
      </x:c>
      <x:c r="H9" s="24" t="str">
        <x:v>Detective</x:v>
      </x:c>
      <x:c r="I9" s="24" t="str">
        <x:v>58 scheduled jobs</x:v>
      </x:c>
      <x:c r="J9" s="24" t="str">
        <x:v>Pass</x:v>
      </x:c>
      <x:c r="K9" s="24" t="str">
        <x:v>Pass</x:v>
      </x:c>
      <x:c r="L9" s="24" t="str">
        <x:f>IF(OR(J9="Fail",K9="Fail"),"Fail",IF(OR(J9="Not Tested",K9="Not Tested"),"Not Tested","Pass"))</x:f>
        <x:v>Pass</x:v>
      </x:c>
      <x:c r="M9" s="24" t="str">
        <x:v>EV-08</x:v>
      </x:c>
    </x:row>
    <x:row r="10">
      <x:c r="A10" s="24" t="str">
        <x:v>ITGC-09</x:v>
      </x:c>
      <x:c r="B10" s="24" t="str">
        <x:v>Password &amp; Authentication</x:v>
      </x:c>
      <x:c r="C10" s="24" t="str">
        <x:v>Weak authentication increases compromise risk</x:v>
      </x:c>
      <x:c r="D10" s="24" t="str">
        <x:v>Authentication controls enforce minimum security requirements</x:v>
      </x:c>
      <x:c r="E10" s="24" t="str">
        <x:v>Password/MFA requirements are centrally enforced and periodically reviewed</x:v>
      </x:c>
      <x:c r="F10" s="24" t="str">
        <x:v>IAM Lead</x:v>
      </x:c>
      <x:c r="G10" s="24" t="str">
        <x:v>Annual</x:v>
      </x:c>
      <x:c r="H10" s="24" t="str">
        <x:v>Preventive</x:v>
      </x:c>
      <x:c r="I10" s="24" t="str">
        <x:v>M365 + SaaS apps</x:v>
      </x:c>
      <x:c r="J10" s="24" t="str">
        <x:v>Pass</x:v>
      </x:c>
      <x:c r="K10" s="24" t="str">
        <x:v>Pass</x:v>
      </x:c>
      <x:c r="L10" s="24" t="str">
        <x:f>IF(OR(J10="Fail",K10="Fail"),"Fail",IF(OR(J10="Not Tested",K10="Not Tested"),"Not Tested","Pass"))</x:f>
        <x:v>Pass</x:v>
      </x:c>
      <x:c r="M10" s="24" t="str">
        <x:v>EV-09</x:v>
      </x:c>
    </x:row>
    <x:row r="11">
      <x:c r="A11" s="24" t="str">
        <x:v>ITGC-10</x:v>
      </x:c>
      <x:c r="B11" s="24" t="str">
        <x:v>User Access</x:v>
      </x:c>
      <x:c r="C11" s="24" t="str">
        <x:v>Segregation-of-duties conflicts remain</x:v>
      </x:c>
      <x:c r="D11" s="24" t="str">
        <x:v>Conflicting access is identified and remediated</x:v>
      </x:c>
      <x:c r="E11" s="24" t="str">
        <x:v>SoD conflicts are assessed during access reviews and tracked to closure</x:v>
      </x:c>
      <x:c r="F11" s="24" t="str">
        <x:v>GRC Lead</x:v>
      </x:c>
      <x:c r="G11" s="24" t="str">
        <x:v>Quarterly</x:v>
      </x:c>
      <x:c r="H11" s="24" t="str">
        <x:v>Detective</x:v>
      </x:c>
      <x:c r="I11" s="24" t="str">
        <x:v>18 role combinations</x:v>
      </x:c>
      <x:c r="J11" s="24" t="str">
        <x:v>Fail</x:v>
      </x:c>
      <x:c r="K11" s="24" t="str">
        <x:v>Fail</x:v>
      </x:c>
      <x:c r="L11" s="24" t="str">
        <x:f>IF(OR(J11="Fail",K11="Fail"),"Fail",IF(OR(J11="Not Tested",K11="Not Tested"),"Not Tested","Pass"))</x:f>
        <x:v>Fail</x:v>
      </x:c>
      <x:c r="M11" s="24" t="str">
        <x:v>EV-10</x:v>
      </x:c>
    </x:row>
    <x:row r="12">
      <x:c r="A12" s="24" t="str">
        <x:v>ITGC-11</x:v>
      </x:c>
      <x:c r="B12" s="24" t="str">
        <x:v>Access Review</x:v>
      </x:c>
      <x:c r="C12" s="24" t="str">
        <x:v>Inaccurate access population</x:v>
      </x:c>
      <x:c r="D12" s="24" t="str">
        <x:v>Access review populations are complete and attributable</x:v>
      </x:c>
      <x:c r="E12" s="24" t="str">
        <x:v>System-generated user lists are reconciled to authoritative HR/identity data</x:v>
      </x:c>
      <x:c r="F12" s="24" t="str">
        <x:v>IAM Lead</x:v>
      </x:c>
      <x:c r="G12" s="24" t="str">
        <x:v>Quarterly</x:v>
      </x:c>
      <x:c r="H12" s="24" t="str">
        <x:v>Detective</x:v>
      </x:c>
      <x:c r="I12" s="24" t="str">
        <x:v>86 users</x:v>
      </x:c>
      <x:c r="J12" s="24" t="str">
        <x:v>Pass</x:v>
      </x:c>
      <x:c r="K12" s="24" t="str">
        <x:v>Pass</x:v>
      </x:c>
      <x:c r="L12" s="24" t="str">
        <x:f>IF(OR(J12="Fail",K12="Fail"),"Fail",IF(OR(J12="Not Tested",K12="Not Tested"),"Not Tested","Pass"))</x:f>
        <x:v>Pass</x:v>
      </x:c>
      <x:c r="M12" s="24" t="str">
        <x:v>EV-11</x:v>
      </x:c>
    </x:row>
    <x:row r="13">
      <x:c r="A13" s="24" t="str">
        <x:v>ITGC-12</x:v>
      </x:c>
      <x:c r="B13" s="24" t="str">
        <x:v>Change Management</x:v>
      </x:c>
      <x:c r="C13" s="24" t="str">
        <x:v>Unreviewed code reaches production</x:v>
      </x:c>
      <x:c r="D13" s="24" t="str">
        <x:v>Code deployment is traceable to approved change</x:v>
      </x:c>
      <x:c r="E13" s="24" t="str">
        <x:v>CI/CD deployment records link commits to approved change tickets</x:v>
      </x:c>
      <x:c r="F13" s="24" t="str">
        <x:v>Engineering Manager</x:v>
      </x:c>
      <x:c r="G13" s="24" t="str">
        <x:v>Per Request</x:v>
      </x:c>
      <x:c r="H13" s="24" t="str">
        <x:v>Detective</x:v>
      </x:c>
      <x:c r="I13" s="24" t="str">
        <x:v>42 deployments</x:v>
      </x:c>
      <x:c r="J13" s="24" t="str">
        <x:v>Pass</x:v>
      </x:c>
      <x:c r="K13" s="24" t="str">
        <x:v>Pass</x:v>
      </x:c>
      <x:c r="L13" s="24" t="str">
        <x:f>IF(OR(J13="Fail",K13="Fail"),"Fail",IF(OR(J13="Not Tested",K13="Not Tested"),"Not Tested","Pass"))</x:f>
        <x:v>Pass</x:v>
      </x:c>
      <x:c r="M13" s="24" t="str">
        <x:v>EV-12</x:v>
      </x:c>
    </x:row>
  </x:sheetData>
  <x:conditionalFormatting sqref="L2:L13">
    <x:cfRule type="expression" dxfId="0" priority="1">
      <x:formula>L2="Fail"</x:formula>
    </x:cfRule>
    <x:cfRule type="expression" dxfId="1" priority="2">
      <x:formula>L2="Pass"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98a6b87eb23431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3" hidden="0" customWidth="1"/>
    <x:col min="3" max="3" width="16" hidden="0" customWidth="1"/>
    <x:col min="4" max="4" width="12" hidden="0" customWidth="1"/>
    <x:col min="5" max="5" width="20" hidden="0" customWidth="1"/>
    <x:col min="6" max="6" width="11" hidden="0" customWidth="1"/>
    <x:col min="7" max="7" width="14" hidden="0" customWidth="1"/>
    <x:col min="8" max="8" width="32" hidden="0" customWidth="1"/>
    <x:col min="9" max="9" width="44" hidden="0" customWidth="1"/>
    <x:col min="10" max="10" width="28" hidden="0" customWidth="1"/>
    <x:col min="11" max="11" width="30" hidden="0" customWidth="1"/>
    <x:col min="12" max="12" width="12" hidden="0" customWidth="1"/>
    <x:col min="13" max="13" width="34" hidden="0" customWidth="1"/>
    <x:col min="14" max="14" width="36" hidden="0" customWidth="1"/>
  </x:cols>
  <x:sheetData>
    <x:row r="1">
      <x:c r="A1" s="18" t="str">
        <x:v>Test ID</x:v>
      </x:c>
      <x:c r="B1" s="18" t="str">
        <x:v>Control ID</x:v>
      </x:c>
      <x:c r="C1" s="18" t="str">
        <x:v>Domain</x:v>
      </x:c>
      <x:c r="D1" s="18" t="str">
        <x:v>Test Type</x:v>
      </x:c>
      <x:c r="E1" s="18" t="str">
        <x:v>Population</x:v>
      </x:c>
      <x:c r="F1" s="18" t="str">
        <x:v>Sample Size</x:v>
      </x:c>
      <x:c r="G1" s="18" t="str">
        <x:v>Sample Basis</x:v>
      </x:c>
      <x:c r="H1" s="18" t="str">
        <x:v>Evidence Reviewed</x:v>
      </x:c>
      <x:c r="I1" s="18" t="str">
        <x:v>Test Procedure</x:v>
      </x:c>
      <x:c r="J1" s="18" t="str">
        <x:v>Expected Result</x:v>
      </x:c>
      <x:c r="K1" s="18" t="str">
        <x:v>Actual Result</x:v>
      </x:c>
      <x:c r="L1" s="18" t="str">
        <x:v>Result</x:v>
      </x:c>
      <x:c r="M1" s="18" t="str">
        <x:v>Exception / Observation</x:v>
      </x:c>
      <x:c r="N1" s="18" t="str">
        <x:v>Tester Conclusion</x:v>
      </x:c>
    </x:row>
    <x:row r="2">
      <x:c r="A2" s="24" t="str">
        <x:v>TST-01</x:v>
      </x:c>
      <x:c r="B2" s="24" t="str">
        <x:v>ITGC-01</x:v>
      </x:c>
      <x:c r="C2" s="24" t="str">
        <x:v>Logical Access</x:v>
      </x:c>
      <x:c r="D2" s="24" t="str">
        <x:v>ToD</x:v>
      </x:c>
      <x:c r="E2" s="24" t="str">
        <x:v>12 new-user requests</x:v>
      </x:c>
      <x:c r="F2" s="24" t="n">
        <x:v>3</x:v>
      </x:c>
      <x:c r="G2" s="24" t="str">
        <x:v>Judgmental</x:v>
      </x:c>
      <x:c r="H2" s="24" t="str">
        <x:v>Access tickets; approvals</x:v>
      </x:c>
      <x:c r="I2" s="24" t="str">
        <x:v>Verify request approval, manager authorization and system-owner approval for each sample.</x:v>
      </x:c>
      <x:c r="J2" s="24" t="str">
        <x:v>All sampled requests have approval evidence</x:v>
      </x:c>
      <x:c r="K2" s="24" t="str">
        <x:v>All 3 samples had complete approvals</x:v>
      </x:c>
      <x:c r="L2" s="24" t="str">
        <x:v>Pass</x:v>
      </x:c>
      <x:c r="M2" s="24" t="str">
        <x:v>None identified</x:v>
      </x:c>
      <x:c r="N2" s="24" t="str">
        <x:v>Control design is appropriately structured.</x:v>
      </x:c>
    </x:row>
    <x:row r="3">
      <x:c r="A3" s="24" t="str">
        <x:v>TST-02</x:v>
      </x:c>
      <x:c r="B3" s="24" t="str">
        <x:v>ITGC-01</x:v>
      </x:c>
      <x:c r="C3" s="24" t="str">
        <x:v>Logical Access</x:v>
      </x:c>
      <x:c r="D3" s="24" t="str">
        <x:v>ToE</x:v>
      </x:c>
      <x:c r="E3" s="24" t="str">
        <x:v>12 new-user requests</x:v>
      </x:c>
      <x:c r="F3" s="24" t="n">
        <x:v>3</x:v>
      </x:c>
      <x:c r="G3" s="24" t="str">
        <x:v>Judgmental</x:v>
      </x:c>
      <x:c r="H3" s="24" t="str">
        <x:v>Access tickets; provisioning timestamps</x:v>
      </x:c>
      <x:c r="I3" s="24" t="str">
        <x:v>Trace sampled requests from approval through provisioning and confirm evidence exists.</x:v>
      </x:c>
      <x:c r="J3" s="24" t="str">
        <x:v>Provisioning matches approved access</x:v>
      </x:c>
      <x:c r="K3" s="24" t="str">
        <x:v>3/3 matched approved access</x:v>
      </x:c>
      <x:c r="L3" s="24" t="str">
        <x:v>Pass</x:v>
      </x:c>
      <x:c r="M3" s="24" t="str">
        <x:v>None identified</x:v>
      </x:c>
      <x:c r="N3" s="24" t="str">
        <x:v>Control operated as intended in sample.</x:v>
      </x:c>
    </x:row>
    <x:row r="4">
      <x:c r="A4" s="24" t="str">
        <x:v>TST-03</x:v>
      </x:c>
      <x:c r="B4" s="24" t="str">
        <x:v>ITGC-02</x:v>
      </x:c>
      <x:c r="C4" s="24" t="str">
        <x:v>Logical Access</x:v>
      </x:c>
      <x:c r="D4" s="24" t="str">
        <x:v>ToD</x:v>
      </x:c>
      <x:c r="E4" s="24" t="str">
        <x:v>86 active users</x:v>
      </x:c>
      <x:c r="F4" s="24" t="n">
        <x:v>3</x:v>
      </x:c>
      <x:c r="G4" s="24" t="str">
        <x:v>Judgmental</x:v>
      </x:c>
      <x:c r="H4" s="24" t="str">
        <x:v>Access-review procedure; owner sign-off</x:v>
      </x:c>
      <x:c r="I4" s="24" t="str">
        <x:v>Confirm procedure requires quarterly review, exception handling and owner sign-off.</x:v>
      </x:c>
      <x:c r="J4" s="24" t="str">
        <x:v>Procedure covers review and remediation</x:v>
      </x:c>
      <x:c r="K4" s="24" t="str">
        <x:v>Procedure covers required steps</x:v>
      </x:c>
      <x:c r="L4" s="24" t="str">
        <x:v>Pass</x:v>
      </x:c>
      <x:c r="M4" s="24" t="str">
        <x:v>None identified</x:v>
      </x:c>
      <x:c r="N4" s="24" t="str">
        <x:v>Design addresses the stated risk.</x:v>
      </x:c>
    </x:row>
    <x:row r="5">
      <x:c r="A5" s="24" t="str">
        <x:v>TST-04</x:v>
      </x:c>
      <x:c r="B5" s="24" t="str">
        <x:v>ITGC-02</x:v>
      </x:c>
      <x:c r="C5" s="24" t="str">
        <x:v>Logical Access</x:v>
      </x:c>
      <x:c r="D5" s="24" t="str">
        <x:v>ToE</x:v>
      </x:c>
      <x:c r="E5" s="24" t="str">
        <x:v>86 active users</x:v>
      </x:c>
      <x:c r="F5" s="24" t="n">
        <x:v>10</x:v>
      </x:c>
      <x:c r="G5" s="24" t="str">
        <x:v>Random</x:v>
      </x:c>
      <x:c r="H5" s="24" t="str">
        <x:v>Q3 access review; exception tracker</x:v>
      </x:c>
      <x:c r="I5" s="24" t="str">
        <x:v>Inspect review evidence and verify inappropriate access was removed or tracked.</x:v>
      </x:c>
      <x:c r="J5" s="24" t="str">
        <x:v>All exceptions are remediated or formally approved</x:v>
      </x:c>
      <x:c r="K5" s="24" t="str">
        <x:v>2 stale permissions remained open beyond target date</x:v>
      </x:c>
      <x:c r="L5" s="24" t="str">
        <x:v>Fail</x:v>
      </x:c>
      <x:c r="M5" s="24" t="str">
        <x:v>2 access exceptions overdue</x:v>
      </x:c>
      <x:c r="N5" s="24" t="str">
        <x:v>Operating effectiveness exception identified; remediation required.</x:v>
      </x:c>
    </x:row>
    <x:row r="6">
      <x:c r="A6" s="24" t="str">
        <x:v>TST-05</x:v>
      </x:c>
      <x:c r="B6" s="24" t="str">
        <x:v>ITGC-03</x:v>
      </x:c>
      <x:c r="C6" s="24" t="str">
        <x:v>Logical Access</x:v>
      </x:c>
      <x:c r="D6" s="24" t="str">
        <x:v>ToE</x:v>
      </x:c>
      <x:c r="E6" s="24" t="str">
        <x:v>7 leavers</x:v>
      </x:c>
      <x:c r="F6" s="24" t="n">
        <x:v>4</x:v>
      </x:c>
      <x:c r="G6" s="24" t="str">
        <x:v>Judgmental</x:v>
      </x:c>
      <x:c r="H6" s="24" t="str">
        <x:v>HR termination log; identity disablement log</x:v>
      </x:c>
      <x:c r="I6" s="24" t="str">
        <x:v>Compare termination timestamps to disablement timestamps.</x:v>
      </x:c>
      <x:c r="J6" s="24" t="str">
        <x:v>Disablement occurs within SLA</x:v>
      </x:c>
      <x:c r="K6" s="24" t="str">
        <x:v>4/4 disabled within SLA</x:v>
      </x:c>
      <x:c r="L6" s="24" t="str">
        <x:v>Pass</x:v>
      </x:c>
      <x:c r="M6" s="24" t="str">
        <x:v>None identified</x:v>
      </x:c>
      <x:c r="N6" s="24" t="str">
        <x:v>Control operated as intended in sample.</x:v>
      </x:c>
    </x:row>
    <x:row r="7">
      <x:c r="A7" s="24" t="str">
        <x:v>TST-06</x:v>
      </x:c>
      <x:c r="B7" s="24" t="str">
        <x:v>ITGC-04</x:v>
      </x:c>
      <x:c r="C7" s="24" t="str">
        <x:v>Privileged Access</x:v>
      </x:c>
      <x:c r="D7" s="24" t="str">
        <x:v>ToD</x:v>
      </x:c>
      <x:c r="E7" s="24" t="str">
        <x:v>14 privileged accounts</x:v>
      </x:c>
      <x:c r="F7" s="24" t="n">
        <x:v>3</x:v>
      </x:c>
      <x:c r="G7" s="24" t="str">
        <x:v>Judgmental</x:v>
      </x:c>
      <x:c r="H7" s="24" t="str">
        <x:v>PAM procedure; MFA standard; approval workflow</x:v>
      </x:c>
      <x:c r="I7" s="24" t="str">
        <x:v>Confirm privileged access requires approval, MFA and periodic review.</x:v>
      </x:c>
      <x:c r="J7" s="24" t="str">
        <x:v>All three requirements are defined</x:v>
      </x:c>
      <x:c r="K7" s="24" t="str">
        <x:v>All three requirements are defined</x:v>
      </x:c>
      <x:c r="L7" s="24" t="str">
        <x:v>Pass</x:v>
      </x:c>
      <x:c r="M7" s="24" t="str">
        <x:v>None identified</x:v>
      </x:c>
      <x:c r="N7" s="24" t="str">
        <x:v>Design addresses the risk.</x:v>
      </x:c>
    </x:row>
    <x:row r="8">
      <x:c r="A8" s="24" t="str">
        <x:v>TST-07</x:v>
      </x:c>
      <x:c r="B8" s="24" t="str">
        <x:v>ITGC-04</x:v>
      </x:c>
      <x:c r="C8" s="24" t="str">
        <x:v>Privileged Access</x:v>
      </x:c>
      <x:c r="D8" s="24" t="str">
        <x:v>ToE</x:v>
      </x:c>
      <x:c r="E8" s="24" t="str">
        <x:v>14 privileged accounts</x:v>
      </x:c>
      <x:c r="F8" s="24" t="n">
        <x:v>6</x:v>
      </x:c>
      <x:c r="G8" s="24" t="str">
        <x:v>Random</x:v>
      </x:c>
      <x:c r="H8" s="24" t="str">
        <x:v>Privileged-account review; MFA report</x:v>
      </x:c>
      <x:c r="I8" s="24" t="str">
        <x:v>Verify sampled privileged accounts were reviewed and MFA evidence exists.</x:v>
      </x:c>
      <x:c r="J8" s="24" t="str">
        <x:v>All sampled accounts reviewed with MFA evidence</x:v>
      </x:c>
      <x:c r="K8" s="24" t="str">
        <x:v>1 account lacked current review evidence</x:v>
      </x:c>
      <x:c r="L8" s="24" t="str">
        <x:v>Fail</x:v>
      </x:c>
      <x:c r="M8" s="24" t="str">
        <x:v>1 privileged account not evidenced</x:v>
      </x:c>
      <x:c r="N8" s="24" t="str">
        <x:v>Operating effectiveness exception identified.</x:v>
      </x:c>
    </x:row>
    <x:row r="9">
      <x:c r="A9" s="24" t="str">
        <x:v>TST-08</x:v>
      </x:c>
      <x:c r="B9" s="24" t="str">
        <x:v>ITGC-05</x:v>
      </x:c>
      <x:c r="C9" s="24" t="str">
        <x:v>Change Management</x:v>
      </x:c>
      <x:c r="D9" s="24" t="str">
        <x:v>ToE</x:v>
      </x:c>
      <x:c r="E9" s="24" t="str">
        <x:v>42 production changes</x:v>
      </x:c>
      <x:c r="F9" s="24" t="n">
        <x:v>6</x:v>
      </x:c>
      <x:c r="G9" s="24" t="str">
        <x:v>Random</x:v>
      </x:c>
      <x:c r="H9" s="24" t="str">
        <x:v>Change tickets; approvals; test results</x:v>
      </x:c>
      <x:c r="I9" s="24" t="str">
        <x:v>Verify each sample has approval, test evidence and deployment traceability.</x:v>
      </x:c>
      <x:c r="J9" s="24" t="str">
        <x:v>Each sampled change is approved, tested and traceable</x:v>
      </x:c>
      <x:c r="K9" s="24" t="str">
        <x:v>6/6 met criteria</x:v>
      </x:c>
      <x:c r="L9" s="24" t="str">
        <x:v>Pass</x:v>
      </x:c>
      <x:c r="M9" s="24" t="str">
        <x:v>None identified</x:v>
      </x:c>
      <x:c r="N9" s="24" t="str">
        <x:v>Control operated as intended in sample.</x:v>
      </x:c>
    </x:row>
    <x:row r="10">
      <x:c r="A10" s="24" t="str">
        <x:v>TST-09</x:v>
      </x:c>
      <x:c r="B10" s="24" t="str">
        <x:v>ITGC-06</x:v>
      </x:c>
      <x:c r="C10" s="24" t="str">
        <x:v>Change Management</x:v>
      </x:c>
      <x:c r="D10" s="24" t="str">
        <x:v>ToE</x:v>
      </x:c>
      <x:c r="E10" s="24" t="str">
        <x:v>5 emergency changes</x:v>
      </x:c>
      <x:c r="F10" s="24" t="n">
        <x:v>5</x:v>
      </x:c>
      <x:c r="G10" s="24" t="str">
        <x:v>Full Population</x:v>
      </x:c>
      <x:c r="H10" s="24" t="str">
        <x:v>Emergency tickets; post-implementation reviews</x:v>
      </x:c>
      <x:c r="I10" s="24" t="str">
        <x:v>Verify emergency authorization and post-implementation review.</x:v>
      </x:c>
      <x:c r="J10" s="24" t="str">
        <x:v>All emergency changes have required retrospective review</x:v>
      </x:c>
      <x:c r="K10" s="24" t="str">
        <x:v>1 of 5 lacked documented post-implementation review</x:v>
      </x:c>
      <x:c r="L10" s="24" t="str">
        <x:v>Fail</x:v>
      </x:c>
      <x:c r="M10" s="24" t="str">
        <x:v>1 emergency change review missing</x:v>
      </x:c>
      <x:c r="N10" s="24" t="str">
        <x:v>Exception requires remediation.</x:v>
      </x:c>
    </x:row>
    <x:row r="11">
      <x:c r="A11" s="24" t="str">
        <x:v>TST-10</x:v>
      </x:c>
      <x:c r="B11" s="24" t="str">
        <x:v>ITGC-10</x:v>
      </x:c>
      <x:c r="C11" s="24" t="str">
        <x:v>User Access</x:v>
      </x:c>
      <x:c r="D11" s="24" t="str">
        <x:v>ToD</x:v>
      </x:c>
      <x:c r="E11" s="24" t="str">
        <x:v>18 role combinations</x:v>
      </x:c>
      <x:c r="F11" s="24" t="n">
        <x:v>5</x:v>
      </x:c>
      <x:c r="G11" s="24" t="str">
        <x:v>Judgmental</x:v>
      </x:c>
      <x:c r="H11" s="24" t="str">
        <x:v>SoD matrix; access-governance procedure</x:v>
      </x:c>
      <x:c r="I11" s="24" t="str">
        <x:v>Assess whether SoD conflicts are formally defined and review requirements are clear.</x:v>
      </x:c>
      <x:c r="J11" s="24" t="str">
        <x:v>Conflicts are defined with review/remediation process</x:v>
      </x:c>
      <x:c r="K11" s="24" t="str">
        <x:v>Core conflicts were defined but escalation/expiry requirements were incomplete</x:v>
      </x:c>
      <x:c r="L11" s="24" t="str">
        <x:v>Fail</x:v>
      </x:c>
      <x:c r="M11" s="24" t="str">
        <x:v>SoD exception lifecycle incomplete</x:v>
      </x:c>
      <x:c r="N11" s="24" t="str">
        <x:v>Design improvement required.</x:v>
      </x:c>
    </x:row>
  </x:sheetData>
  <x:conditionalFormatting sqref="L2:L11">
    <x:cfRule type="expression" dxfId="2" priority="1">
      <x:formula>L2="Fail"</x:formula>
    </x:cfRule>
    <x:cfRule type="expression" dxfId="3" priority="2">
      <x:formula>L2="Pass"</x:formula>
    </x:cfRule>
  </x:conditionalFormatting>
  <x:dataValidations count="1">
    <x:dataValidation type="list" sqref="L2:L11">
      <x:formula1>Lists!$D$2:$D$4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7d12e4b65a043c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6" hidden="0" customWidth="1"/>
    <x:col min="4" max="4" width="42" hidden="0" customWidth="1"/>
    <x:col min="5" max="5" width="40" hidden="0" customWidth="1"/>
    <x:col min="6" max="6" width="34" hidden="0" customWidth="1"/>
    <x:col min="7" max="7" width="38" hidden="0" customWidth="1"/>
    <x:col min="8" max="8" width="12" hidden="0" customWidth="1"/>
    <x:col min="9" max="9" width="44" hidden="0" customWidth="1"/>
    <x:col min="10" max="10" width="18" hidden="0" customWidth="1"/>
    <x:col min="11" max="11" width="14" hidden="0" customWidth="1"/>
    <x:col min="12" max="12" width="18" hidden="0" customWidth="1"/>
    <x:col min="13" max="13" width="12" hidden="0" customWidth="1"/>
  </x:cols>
  <x:sheetData>
    <x:row r="1">
      <x:c r="A1" s="18" t="str">
        <x:v>Finding ID</x:v>
      </x:c>
      <x:c r="B1" s="18" t="str">
        <x:v>Control ID</x:v>
      </x:c>
      <x:c r="C1" s="18" t="str">
        <x:v>Area</x:v>
      </x:c>
      <x:c r="D1" s="18" t="str">
        <x:v>Condition</x:v>
      </x:c>
      <x:c r="E1" s="18" t="str">
        <x:v>Criteria</x:v>
      </x:c>
      <x:c r="F1" s="18" t="str">
        <x:v>Cause</x:v>
      </x:c>
      <x:c r="G1" s="18" t="str">
        <x:v>Impact</x:v>
      </x:c>
      <x:c r="H1" s="18" t="str">
        <x:v>Risk</x:v>
      </x:c>
      <x:c r="I1" s="18" t="str">
        <x:v>Recommendation</x:v>
      </x:c>
      <x:c r="J1" s="18" t="str">
        <x:v>Owner</x:v>
      </x:c>
      <x:c r="K1" s="18" t="str">
        <x:v>Due Date</x:v>
      </x:c>
      <x:c r="L1" s="18" t="str">
        <x:v>Status</x:v>
      </x:c>
      <x:c r="M1" s="18" t="str">
        <x:v>Severity</x:v>
      </x:c>
    </x:row>
    <x:row r="2">
      <x:c r="A2" s="24" t="str">
        <x:v>FND-01</x:v>
      </x:c>
      <x:c r="B2" s="24" t="str">
        <x:v>ITGC-02</x:v>
      </x:c>
      <x:c r="C2" s="24" t="str">
        <x:v>User Access</x:v>
      </x:c>
      <x:c r="D2" s="24" t="str">
        <x:v>2 stale permissions remained open beyond the remediation target date.</x:v>
      </x:c>
      <x:c r="E2" s="24" t="str">
        <x:v>Quarterly access reviews should identify and remediate inappropriate access within defined timelines.</x:v>
      </x:c>
      <x:c r="F2" s="24" t="str">
        <x:v>Exception follow-up was not consistently escalated.</x:v>
      </x:c>
      <x:c r="G2" s="24" t="str">
        <x:v>Users retained access longer than intended.</x:v>
      </x:c>
      <x:c r="H2" s="24" t="str">
        <x:v>High</x:v>
      </x:c>
      <x:c r="I2" s="24" t="str">
        <x:v>Escalate overdue access exceptions; define escalation SLA and owner.</x:v>
      </x:c>
      <x:c r="J2" s="24" t="str">
        <x:v>IAM Lead</x:v>
      </x:c>
      <x:c r="K2" s="36" t="n">
        <x:v>46313</x:v>
      </x:c>
      <x:c r="L2" s="24" t="str">
        <x:v>In Progress</x:v>
      </x:c>
      <x:c r="M2" s="24" t="str">
        <x:v>High</x:v>
      </x:c>
    </x:row>
    <x:row r="3">
      <x:c r="A3" s="24" t="str">
        <x:v>FND-02</x:v>
      </x:c>
      <x:c r="B3" s="24" t="str">
        <x:v>ITGC-04</x:v>
      </x:c>
      <x:c r="C3" s="24" t="str">
        <x:v>Privileged Access</x:v>
      </x:c>
      <x:c r="D3" s="24" t="str">
        <x:v>1 privileged account lacked current review evidence.</x:v>
      </x:c>
      <x:c r="E3" s="24" t="str">
        <x:v>Privileged access should be periodically reviewed and evidenced.</x:v>
      </x:c>
      <x:c r="F3" s="24" t="str">
        <x:v>Review evidence was not retained in the standard repository.</x:v>
      </x:c>
      <x:c r="G3" s="24" t="str">
        <x:v>Inability to demonstrate current appropriateness of privileged access.</x:v>
      </x:c>
      <x:c r="H3" s="24" t="str">
        <x:v>High</x:v>
      </x:c>
      <x:c r="I3" s="24" t="str">
        <x:v>Add mandatory evidence retention and reviewer attestation.</x:v>
      </x:c>
      <x:c r="J3" s="24" t="str">
        <x:v>Security Lead</x:v>
      </x:c>
      <x:c r="K3" s="36" t="n">
        <x:v>46320</x:v>
      </x:c>
      <x:c r="L3" s="24" t="str">
        <x:v>Open</x:v>
      </x:c>
      <x:c r="M3" s="24" t="str">
        <x:v>High</x:v>
      </x:c>
    </x:row>
    <x:row r="4">
      <x:c r="A4" s="24" t="str">
        <x:v>FND-03</x:v>
      </x:c>
      <x:c r="B4" s="24" t="str">
        <x:v>ITGC-06</x:v>
      </x:c>
      <x:c r="C4" s="24" t="str">
        <x:v>Emergency Change</x:v>
      </x:c>
      <x:c r="D4" s="24" t="str">
        <x:v>1 emergency change lacked documented post-implementation review.</x:v>
      </x:c>
      <x:c r="E4" s="24" t="str">
        <x:v>Emergency changes should be retrospectively reviewed.</x:v>
      </x:c>
      <x:c r="F4" s="24" t="str">
        <x:v>PIR reminder was not automatically triggered.</x:v>
      </x:c>
      <x:c r="G4" s="24" t="str">
        <x:v>Reduced assurance that emergency changes were assessed after deployment.</x:v>
      </x:c>
      <x:c r="H4" s="24" t="str">
        <x:v>Medium</x:v>
      </x:c>
      <x:c r="I4" s="24" t="str">
        <x:v>Add PIR workflow trigger and overdue notification.</x:v>
      </x:c>
      <x:c r="J4" s="24" t="str">
        <x:v>Engineering Manager</x:v>
      </x:c>
      <x:c r="K4" s="36" t="n">
        <x:v>46327</x:v>
      </x:c>
      <x:c r="L4" s="24" t="str">
        <x:v>Open</x:v>
      </x:c>
      <x:c r="M4" s="24" t="str">
        <x:v>Medium</x:v>
      </x:c>
    </x:row>
    <x:row r="5">
      <x:c r="A5" s="24" t="str">
        <x:v>FND-04</x:v>
      </x:c>
      <x:c r="B5" s="24" t="str">
        <x:v>ITGC-10</x:v>
      </x:c>
      <x:c r="C5" s="24" t="str">
        <x:v>Segregation of Duties</x:v>
      </x:c>
      <x:c r="D5" s="24" t="str">
        <x:v>SoD escalation and exception-expiry requirements were incomplete.</x:v>
      </x:c>
      <x:c r="E5" s="24" t="str">
        <x:v>Conflicting access should be identified, approved, time-bound and reviewed.</x:v>
      </x:c>
      <x:c r="F5" s="24" t="str">
        <x:v>The procedure focused on detection but not complete exception lifecycle.</x:v>
      </x:c>
      <x:c r="G5" s="24" t="str">
        <x:v>Conflicts may remain open without clear expiry or escalation.</x:v>
      </x:c>
      <x:c r="H5" s="24" t="str">
        <x:v>Medium</x:v>
      </x:c>
      <x:c r="I5" s="24" t="str">
        <x:v>Update SoD procedure with escalation, compensating control and expiry requirements.</x:v>
      </x:c>
      <x:c r="J5" s="24" t="str">
        <x:v>GRC Lead</x:v>
      </x:c>
      <x:c r="K5" s="36" t="n">
        <x:v>46334</x:v>
      </x:c>
      <x:c r="L5" s="24" t="str">
        <x:v>Open</x:v>
      </x:c>
      <x:c r="M5" s="24" t="str">
        <x:v>Medium</x:v>
      </x:c>
    </x:row>
  </x:sheetData>
  <x:conditionalFormatting sqref="M2:M5">
    <x:cfRule type="expression" dxfId="4" priority="1">
      <x:formula>M2="High"</x:formula>
    </x:cfRule>
    <x:cfRule type="expression" dxfId="5" priority="2">
      <x:formula>M2="Medium"</x:formula>
    </x:cfRule>
  </x:conditionalFormatting>
  <x:dataValidations count="1">
    <x:dataValidation type="list" sqref="L2:L5">
      <x:formula1>Lists!$A$2:$A$6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dc69b2b1399421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46" hidden="0" customWidth="1"/>
    <x:col min="4" max="4" width="18" hidden="0" customWidth="1"/>
    <x:col min="5" max="5" width="12" hidden="0" customWidth="1"/>
    <x:col min="6" max="6" width="14" hidden="0" customWidth="1"/>
    <x:col min="7" max="7" width="18" hidden="0" customWidth="1"/>
    <x:col min="8" max="8" width="40" hidden="0" customWidth="1"/>
    <x:col min="9" max="9" width="20" hidden="0" customWidth="1"/>
    <x:col min="10" max="10" width="42" hidden="0" customWidth="1"/>
  </x:cols>
  <x:sheetData>
    <x:row r="1">
      <x:c r="A1" s="18" t="str">
        <x:v>Action ID</x:v>
      </x:c>
      <x:c r="B1" s="18" t="str">
        <x:v>Finding ID</x:v>
      </x:c>
      <x:c r="C1" s="18" t="str">
        <x:v>Action</x:v>
      </x:c>
      <x:c r="D1" s="18" t="str">
        <x:v>Owner</x:v>
      </x:c>
      <x:c r="E1" s="18" t="str">
        <x:v>Priority</x:v>
      </x:c>
      <x:c r="F1" s="18" t="str">
        <x:v>Target Date</x:v>
      </x:c>
      <x:c r="G1" s="18" t="str">
        <x:v>Status</x:v>
      </x:c>
      <x:c r="H1" s="18" t="str">
        <x:v>Evidence Required</x:v>
      </x:c>
      <x:c r="I1" s="18" t="str">
        <x:v>Validation Result</x:v>
      </x:c>
      <x:c r="J1" s="18" t="str">
        <x:v>Closure Criteria</x:v>
      </x:c>
    </x:row>
    <x:row r="2">
      <x:c r="A2" s="24" t="str">
        <x:v>ACT-01</x:v>
      </x:c>
      <x:c r="B2" s="24" t="str">
        <x:v>FND-01</x:v>
      </x:c>
      <x:c r="C2" s="24" t="str">
        <x:v>Create overdue-access escalation queue and weekly exception review.</x:v>
      </x:c>
      <x:c r="D2" s="24" t="str">
        <x:v>IAM Lead</x:v>
      </x:c>
      <x:c r="E2" s="24" t="str">
        <x:v>High</x:v>
      </x:c>
      <x:c r="F2" s="36" t="n">
        <x:v>46313</x:v>
      </x:c>
      <x:c r="G2" s="24" t="str">
        <x:v>In Progress</x:v>
      </x:c>
      <x:c r="H2" s="24" t="str">
        <x:v>Updated access-exception report; escalation record</x:v>
      </x:c>
      <x:c r="I2" s="24" t="str">
        <x:v>Pending</x:v>
      </x:c>
      <x:c r="J2" s="24" t="str">
        <x:v>All overdue access exceptions remediated or formally approved.</x:v>
      </x:c>
    </x:row>
    <x:row r="3">
      <x:c r="A3" s="24" t="str">
        <x:v>ACT-02</x:v>
      </x:c>
      <x:c r="B3" s="24" t="str">
        <x:v>FND-02</x:v>
      </x:c>
      <x:c r="C3" s="24" t="str">
        <x:v>Move privileged-review evidence to controlled repository with mandatory reviewer attestation.</x:v>
      </x:c>
      <x:c r="D3" s="24" t="str">
        <x:v>Security Lead</x:v>
      </x:c>
      <x:c r="E3" s="24" t="str">
        <x:v>High</x:v>
      </x:c>
      <x:c r="F3" s="36" t="n">
        <x:v>46320</x:v>
      </x:c>
      <x:c r="G3" s="24" t="str">
        <x:v>Open</x:v>
      </x:c>
      <x:c r="H3" s="24" t="str">
        <x:v>Repository record + reviewer attestation</x:v>
      </x:c>
      <x:c r="I3" s="24" t="str">
        <x:v>Pending</x:v>
      </x:c>
      <x:c r="J3" s="24" t="str">
        <x:v>All privileged accounts have current review evidence.</x:v>
      </x:c>
    </x:row>
    <x:row r="4">
      <x:c r="A4" s="24" t="str">
        <x:v>ACT-03</x:v>
      </x:c>
      <x:c r="B4" s="24" t="str">
        <x:v>FND-03</x:v>
      </x:c>
      <x:c r="C4" s="24" t="str">
        <x:v>Add post-implementation review reminder and escalation to emergency-change workflow.</x:v>
      </x:c>
      <x:c r="D4" s="24" t="str">
        <x:v>Engineering Manager</x:v>
      </x:c>
      <x:c r="E4" s="24" t="str">
        <x:v>Medium</x:v>
      </x:c>
      <x:c r="F4" s="36" t="n">
        <x:v>46327</x:v>
      </x:c>
      <x:c r="G4" s="24" t="str">
        <x:v>Open</x:v>
      </x:c>
      <x:c r="H4" s="24" t="str">
        <x:v>Workflow screenshot + completed PIR</x:v>
      </x:c>
      <x:c r="I4" s="24" t="str">
        <x:v>Pending</x:v>
      </x:c>
      <x:c r="J4" s="24" t="str">
        <x:v>All emergency changes have documented PIR.</x:v>
      </x:c>
    </x:row>
    <x:row r="5">
      <x:c r="A5" s="24" t="str">
        <x:v>ACT-04</x:v>
      </x:c>
      <x:c r="B5" s="24" t="str">
        <x:v>FND-04</x:v>
      </x:c>
      <x:c r="C5" s="24" t="str">
        <x:v>Revise SoD procedure to include approval, compensating control, expiry and escalation.</x:v>
      </x:c>
      <x:c r="D5" s="24" t="str">
        <x:v>GRC Lead</x:v>
      </x:c>
      <x:c r="E5" s="24" t="str">
        <x:v>Medium</x:v>
      </x:c>
      <x:c r="F5" s="36" t="n">
        <x:v>46334</x:v>
      </x:c>
      <x:c r="G5" s="24" t="str">
        <x:v>Open</x:v>
      </x:c>
      <x:c r="H5" s="24" t="str">
        <x:v>Updated procedure + approval</x:v>
      </x:c>
      <x:c r="I5" s="24" t="str">
        <x:v>Pending</x:v>
      </x:c>
      <x:c r="J5" s="24" t="str">
        <x:v>Procedure approved and applied to next access review.</x:v>
      </x:c>
    </x:row>
  </x:sheetData>
  <x:dataValidations count="1">
    <x:dataValidation type="list" sqref="G2:G5">
      <x:formula1>Lists!$A$2:$A$6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14bcd670ecc4db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32" hidden="0" customWidth="1"/>
    <x:col min="4" max="4" width="18" hidden="0" customWidth="1"/>
    <x:col min="5" max="5" width="14" hidden="0" customWidth="1"/>
    <x:col min="6" max="6" width="34" hidden="0" customWidth="1"/>
    <x:col min="7" max="7" width="18" hidden="0" customWidth="1"/>
    <x:col min="8" max="8" width="18" hidden="0" customWidth="1"/>
    <x:col min="9" max="9" width="34" hidden="0" customWidth="1"/>
  </x:cols>
  <x:sheetData>
    <x:row r="1">
      <x:c r="A1" s="18" t="str">
        <x:v>Evidence ID</x:v>
      </x:c>
      <x:c r="B1" s="18" t="str">
        <x:v>Control ID</x:v>
      </x:c>
      <x:c r="C1" s="18" t="str">
        <x:v>Evidence Name</x:v>
      </x:c>
      <x:c r="D1" s="18" t="str">
        <x:v>Evidence Owner</x:v>
      </x:c>
      <x:c r="E1" s="18" t="str">
        <x:v>Period</x:v>
      </x:c>
      <x:c r="F1" s="18" t="str">
        <x:v>Source / Location</x:v>
      </x:c>
      <x:c r="G1" s="18" t="str">
        <x:v>Evidence Quality</x:v>
      </x:c>
      <x:c r="H1" s="18" t="str">
        <x:v>Result</x:v>
      </x:c>
      <x:c r="I1" s="18" t="str">
        <x:v>Notes</x:v>
      </x:c>
    </x:row>
    <x:row r="2">
      <x:c r="A2" s="24" t="str">
        <x:v>EV-01</x:v>
      </x:c>
      <x:c r="B2" s="24" t="str">
        <x:v>ITGC-01</x:v>
      </x:c>
      <x:c r="C2" s="24" t="str">
        <x:v>Access Request Approval Pack</x:v>
      </x:c>
      <x:c r="D2" s="24" t="str">
        <x:v>IAM Lead</x:v>
      </x:c>
      <x:c r="E2" s="24" t="str">
        <x:v>Q3 2026</x:v>
      </x:c>
      <x:c r="F2" s="24" t="str">
        <x:v>Synthetic ticket export</x:v>
      </x:c>
      <x:c r="G2" s="24" t="str">
        <x:v>Complete</x:v>
      </x:c>
      <x:c r="H2" s="24" t="str">
        <x:v>Sufficient</x:v>
      </x:c>
      <x:c r="I2" s="24" t="str">
        <x:v>3 samples trace to approval.</x:v>
      </x:c>
    </x:row>
    <x:row r="3">
      <x:c r="A3" s="24" t="str">
        <x:v>EV-02</x:v>
      </x:c>
      <x:c r="B3" s="24" t="str">
        <x:v>ITGC-02</x:v>
      </x:c>
      <x:c r="C3" s="24" t="str">
        <x:v>Quarterly Access Review</x:v>
      </x:c>
      <x:c r="D3" s="24" t="str">
        <x:v>IAM Lead</x:v>
      </x:c>
      <x:c r="E3" s="24" t="str">
        <x:v>Q3 2026</x:v>
      </x:c>
      <x:c r="F3" s="24" t="str">
        <x:v>Synthetic access-review workbook</x:v>
      </x:c>
      <x:c r="G3" s="24" t="str">
        <x:v>Incomplete</x:v>
      </x:c>
      <x:c r="H3" s="24" t="str">
        <x:v>Exception</x:v>
      </x:c>
      <x:c r="I3" s="24" t="str">
        <x:v>2 overdue exceptions.</x:v>
      </x:c>
    </x:row>
    <x:row r="4">
      <x:c r="A4" s="24" t="str">
        <x:v>EV-03</x:v>
      </x:c>
      <x:c r="B4" s="24" t="str">
        <x:v>ITGC-03</x:v>
      </x:c>
      <x:c r="C4" s="24" t="str">
        <x:v>Leaver Disablement Report</x:v>
      </x:c>
      <x:c r="D4" s="24" t="str">
        <x:v>IAM Lead</x:v>
      </x:c>
      <x:c r="E4" s="24" t="str">
        <x:v>Q3 2026</x:v>
      </x:c>
      <x:c r="F4" s="24" t="str">
        <x:v>Synthetic identity log</x:v>
      </x:c>
      <x:c r="G4" s="24" t="str">
        <x:v>Complete</x:v>
      </x:c>
      <x:c r="H4" s="24" t="str">
        <x:v>Sufficient</x:v>
      </x:c>
      <x:c r="I4" s="24" t="str">
        <x:v>4 sampled leavers met SLA.</x:v>
      </x:c>
    </x:row>
    <x:row r="5">
      <x:c r="A5" s="24" t="str">
        <x:v>EV-04</x:v>
      </x:c>
      <x:c r="B5" s="24" t="str">
        <x:v>ITGC-04</x:v>
      </x:c>
      <x:c r="C5" s="24" t="str">
        <x:v>Privileged Access Review</x:v>
      </x:c>
      <x:c r="D5" s="24" t="str">
        <x:v>Security Lead</x:v>
      </x:c>
      <x:c r="E5" s="24" t="str">
        <x:v>Q3 2026</x:v>
      </x:c>
      <x:c r="F5" s="24" t="str">
        <x:v>Synthetic PAM review</x:v>
      </x:c>
      <x:c r="G5" s="24" t="str">
        <x:v>Incomplete</x:v>
      </x:c>
      <x:c r="H5" s="24" t="str">
        <x:v>Exception</x:v>
      </x:c>
      <x:c r="I5" s="24" t="str">
        <x:v>1 account lacked current evidence.</x:v>
      </x:c>
    </x:row>
    <x:row r="6">
      <x:c r="A6" s="24" t="str">
        <x:v>EV-05</x:v>
      </x:c>
      <x:c r="B6" s="24" t="str">
        <x:v>ITGC-05</x:v>
      </x:c>
      <x:c r="C6" s="24" t="str">
        <x:v>Production Change Pack</x:v>
      </x:c>
      <x:c r="D6" s="24" t="str">
        <x:v>Engineering Manager</x:v>
      </x:c>
      <x:c r="E6" s="24" t="str">
        <x:v>Q3 2026</x:v>
      </x:c>
      <x:c r="F6" s="24" t="str">
        <x:v>Synthetic change tickets</x:v>
      </x:c>
      <x:c r="G6" s="24" t="str">
        <x:v>Complete</x:v>
      </x:c>
      <x:c r="H6" s="24" t="str">
        <x:v>Sufficient</x:v>
      </x:c>
      <x:c r="I6" s="24" t="str">
        <x:v>6 sampled changes met criteria.</x:v>
      </x:c>
    </x:row>
    <x:row r="7">
      <x:c r="A7" s="24" t="str">
        <x:v>EV-06</x:v>
      </x:c>
      <x:c r="B7" s="24" t="str">
        <x:v>ITGC-06</x:v>
      </x:c>
      <x:c r="C7" s="24" t="str">
        <x:v>Emergency Change Reviews</x:v>
      </x:c>
      <x:c r="D7" s="24" t="str">
        <x:v>Engineering Manager</x:v>
      </x:c>
      <x:c r="E7" s="24" t="str">
        <x:v>Q3 2026</x:v>
      </x:c>
      <x:c r="F7" s="24" t="str">
        <x:v>Synthetic emergency-change log</x:v>
      </x:c>
      <x:c r="G7" s="24" t="str">
        <x:v>Incomplete</x:v>
      </x:c>
      <x:c r="H7" s="24" t="str">
        <x:v>Exception</x:v>
      </x:c>
      <x:c r="I7" s="24" t="str">
        <x:v>1 missing PIR.</x:v>
      </x:c>
    </x:row>
    <x:row r="8">
      <x:c r="A8" s="24" t="str">
        <x:v>EV-07</x:v>
      </x:c>
      <x:c r="B8" s="24" t="str">
        <x:v>ITGC-07</x:v>
      </x:c>
      <x:c r="C8" s="24" t="str">
        <x:v>Backup Monitoring + Restore Test</x:v>
      </x:c>
      <x:c r="D8" s="24" t="str">
        <x:v>Infrastructure Lead</x:v>
      </x:c>
      <x:c r="E8" s="24" t="str">
        <x:v>Q3 2026</x:v>
      </x:c>
      <x:c r="F8" s="24" t="str">
        <x:v>Synthetic backup console export</x:v>
      </x:c>
      <x:c r="G8" s="24" t="str">
        <x:v>Complete</x:v>
      </x:c>
      <x:c r="H8" s="24" t="str">
        <x:v>Sufficient</x:v>
      </x:c>
      <x:c r="I8" s="24" t="str">
        <x:v>Restore test evidenced.</x:v>
      </x:c>
    </x:row>
    <x:row r="9">
      <x:c r="A9" s="24" t="str">
        <x:v>EV-08</x:v>
      </x:c>
      <x:c r="B9" s="24" t="str">
        <x:v>ITGC-08</x:v>
      </x:c>
      <x:c r="C9" s="24" t="str">
        <x:v>Job Monitoring Report</x:v>
      </x:c>
      <x:c r="D9" s="24" t="str">
        <x:v>Operations Lead</x:v>
      </x:c>
      <x:c r="E9" s="24" t="str">
        <x:v>Q3 2026</x:v>
      </x:c>
      <x:c r="F9" s="24" t="str">
        <x:v>Synthetic operations report</x:v>
      </x:c>
      <x:c r="G9" s="24" t="str">
        <x:v>Complete</x:v>
      </x:c>
      <x:c r="H9" s="24" t="str">
        <x:v>Sufficient</x:v>
      </x:c>
      <x:c r="I9" s="24" t="str">
        <x:v>Failures tracked to tickets.</x:v>
      </x:c>
    </x:row>
    <x:row r="10">
      <x:c r="A10" s="24" t="str">
        <x:v>EV-09</x:v>
      </x:c>
      <x:c r="B10" s="24" t="str">
        <x:v>ITGC-09</x:v>
      </x:c>
      <x:c r="C10" s="24" t="str">
        <x:v>Authentication Configuration Review</x:v>
      </x:c>
      <x:c r="D10" s="24" t="str">
        <x:v>IAM Lead</x:v>
      </x:c>
      <x:c r="E10" s="24" t="str">
        <x:v>Q3 2026</x:v>
      </x:c>
      <x:c r="F10" s="24" t="str">
        <x:v>Synthetic M365/SaaS config summary</x:v>
      </x:c>
      <x:c r="G10" s="24" t="str">
        <x:v>Complete</x:v>
      </x:c>
      <x:c r="H10" s="24" t="str">
        <x:v>Sufficient</x:v>
      </x:c>
      <x:c r="I10" s="24" t="str">
        <x:v>MFA and password controls evidenced.</x:v>
      </x:c>
    </x:row>
    <x:row r="11">
      <x:c r="A11" s="24" t="str">
        <x:v>EV-10</x:v>
      </x:c>
      <x:c r="B11" s="24" t="str">
        <x:v>ITGC-10</x:v>
      </x:c>
      <x:c r="C11" s="24" t="str">
        <x:v>SoD Conflict Matrix</x:v>
      </x:c>
      <x:c r="D11" s="24" t="str">
        <x:v>GRC Lead</x:v>
      </x:c>
      <x:c r="E11" s="24" t="str">
        <x:v>Q3 2026</x:v>
      </x:c>
      <x:c r="F11" s="24" t="str">
        <x:v>Synthetic SoD workbook</x:v>
      </x:c>
      <x:c r="G11" s="24" t="str">
        <x:v>Incomplete</x:v>
      </x:c>
      <x:c r="H11" s="24" t="str">
        <x:v>Exception</x:v>
      </x:c>
      <x:c r="I11" s="24" t="str">
        <x:v>Procedure gap noted.</x:v>
      </x:c>
    </x:row>
    <x:row r="12">
      <x:c r="A12" s="24" t="str">
        <x:v>EV-11</x:v>
      </x:c>
      <x:c r="B12" s="24" t="str">
        <x:v>ITGC-11</x:v>
      </x:c>
      <x:c r="C12" s="24" t="str">
        <x:v>Access Population Reconciliation</x:v>
      </x:c>
      <x:c r="D12" s="24" t="str">
        <x:v>IAM Lead</x:v>
      </x:c>
      <x:c r="E12" s="24" t="str">
        <x:v>Q3 2026</x:v>
      </x:c>
      <x:c r="F12" s="24" t="str">
        <x:v>Synthetic HR/IAM reconciliation</x:v>
      </x:c>
      <x:c r="G12" s="24" t="str">
        <x:v>Complete</x:v>
      </x:c>
      <x:c r="H12" s="24" t="str">
        <x:v>Sufficient</x:v>
      </x:c>
      <x:c r="I12" s="24" t="str">
        <x:v>Population reconciled.</x:v>
      </x:c>
    </x:row>
    <x:row r="13">
      <x:c r="A13" s="24" t="str">
        <x:v>EV-12</x:v>
      </x:c>
      <x:c r="B13" s="24" t="str">
        <x:v>ITGC-12</x:v>
      </x:c>
      <x:c r="C13" s="24" t="str">
        <x:v>CI/CD Change Traceability</x:v>
      </x:c>
      <x:c r="D13" s="24" t="str">
        <x:v>Engineering Manager</x:v>
      </x:c>
      <x:c r="E13" s="24" t="str">
        <x:v>Q3 2026</x:v>
      </x:c>
      <x:c r="F13" s="24" t="str">
        <x:v>Synthetic deployment records</x:v>
      </x:c>
      <x:c r="G13" s="24" t="str">
        <x:v>Complete</x:v>
      </x:c>
      <x:c r="H13" s="24" t="str">
        <x:v>Sufficient</x:v>
      </x:c>
      <x:c r="I13" s="24" t="str">
        <x:v>Deployments linked to approved changes.</x:v>
      </x:c>
    </x:row>
  </x:sheetData>
  <x:pageMargins left="0.7" right="0.7" top="0.75" bottom="0.75" header="0.3" footer="0.3"/>
  <x:tableParts count="1">
    <x:tablePart xmlns:r="http://schemas.openxmlformats.org/officeDocument/2006/relationships" r:id="R9e71fd8b4fd244b1"/>
  </x:tableParts>
</x:worksheet>
</file>

<file path=xl/worksheets/sheet7.xml><?xml version="1.0" encoding="utf-8"?>
<x:worksheet xmlns:x="http://schemas.openxmlformats.org/spreadsheetml/2006/main">
  <x:sheetFormatPr defaultRowHeight="15"/>
  <x:sheetData>
    <x:row r="1">
      <x:c r="A1" s="5" t="str">
        <x:v>ITGC Audit Dashboard — Simulated Q3 2026</x:v>
      </x:c>
      <x:c r="B1" s="5"/>
      <x:c r="C1" s="5"/>
      <x:c r="D1" s="5"/>
      <x:c r="E1" s="5"/>
      <x:c r="F1" s="5"/>
      <x:c r="G1" s="5"/>
      <x:c r="H1" s="5"/>
    </x:row>
    <x:row r="3">
      <x:c r="A3" s="18" t="str">
        <x:v>Metric</x:v>
      </x:c>
      <x:c r="B3" s="18" t="str">
        <x:v>Value</x:v>
      </x:c>
      <x:c r="D3" s="18" t="str">
        <x:v>Result</x:v>
      </x:c>
      <x:c r="E3" s="18" t="str">
        <x:v>Count</x:v>
      </x:c>
    </x:row>
    <x:row r="4">
      <x:c r="A4" t="str">
        <x:v>Controls tested</x:v>
      </x:c>
      <x:c r="B4" t="n">
        <x:v>12</x:v>
      </x:c>
      <x:c r="D4" t="str">
        <x:v>Pass</x:v>
      </x:c>
      <x:c r="E4" t="n">
        <x:v>8</x:v>
      </x:c>
    </x:row>
    <x:row r="5">
      <x:c r="A5" t="str">
        <x:v>Controls with failures</x:v>
      </x:c>
      <x:c r="B5" t="n">
        <x:f>COUNTIF('Control Matrix'!L2:L13,"Fail")</x:f>
        <x:v>4</x:v>
      </x:c>
      <x:c r="D5" t="str">
        <x:v>Fail</x:v>
      </x:c>
      <x:c r="E5" t="n">
        <x:v>4</x:v>
      </x:c>
    </x:row>
    <x:row r="6">
      <x:c r="A6" t="str">
        <x:v>Total test procedures</x:v>
      </x:c>
      <x:c r="B6" t="n">
        <x:f>COUNTA('ITGC Testing'!A2:A11)</x:f>
        <x:v>10</x:v>
      </x:c>
      <x:c r="D6" t="str">
        <x:v>Pending</x:v>
      </x:c>
      <x:c r="E6" t="n">
        <x:v>0</x:v>
      </x:c>
    </x:row>
    <x:row r="7">
      <x:c r="A7" t="str">
        <x:v>Pass results</x:v>
      </x:c>
      <x:c r="B7" t="n">
        <x:f>COUNTIF('ITGC Testing'!L2:L11,"Pass")</x:f>
        <x:v>6</x:v>
      </x:c>
      <x:c r="D7" t="str">
        <x:v>Total Findings</x:v>
      </x:c>
      <x:c r="E7" t="n">
        <x:v>4</x:v>
      </x:c>
    </x:row>
    <x:row r="8">
      <x:c r="A8" t="str">
        <x:v>Fail results</x:v>
      </x:c>
      <x:c r="B8" t="n">
        <x:f>COUNTIF('ITGC Testing'!L2:L11,"Fail")</x:f>
        <x:v>4</x:v>
      </x:c>
    </x:row>
    <x:row r="9">
      <x:c r="A9" t="str">
        <x:v>Open findings</x:v>
      </x:c>
      <x:c r="B9" t="n">
        <x:f>COUNTIF('Findings'!L2:L5,"&lt;&gt;Closed")</x:f>
        <x:v>4</x:v>
      </x:c>
    </x:row>
    <x:row r="10">
      <x:c r="A10" t="str">
        <x:v>High-severity findings</x:v>
      </x:c>
      <x:c r="B10" t="n">
        <x:f>COUNTIF('Findings'!M2:M5,"High")</x:f>
        <x:v>2</x:v>
      </x:c>
    </x:row>
    <x:row r="13">
      <x:c r="A13" s="29" t="str">
        <x:v>Management focus</x:v>
      </x:c>
      <x:c r="B13" s="29" t="str"/>
      <x:c r="C13" s="29" t="str"/>
      <x:c r="D13" s="29" t="str"/>
      <x:c r="E13" s="29" t="str"/>
      <x:c r="F13" s="29" t="str"/>
      <x:c r="G13" s="29" t="str"/>
      <x:c r="H13" s="29" t="str"/>
    </x:row>
    <x:row r="14">
      <x:c r="A14" s="24" t="str">
        <x:v>1</x:v>
      </x:c>
      <x:c r="B14" s="24" t="str">
        <x:v>Access reviews: overdue exceptions need tighter escalation and closure tracking.</x:v>
      </x:c>
      <x:c r="C14" s="24" t="str"/>
      <x:c r="D14" s="24" t="str"/>
      <x:c r="E14" s="24" t="str"/>
      <x:c r="F14" s="24" t="str"/>
      <x:c r="G14" s="24" t="str"/>
      <x:c r="H14" s="24" t="str"/>
    </x:row>
    <x:row r="15">
      <x:c r="A15" s="24" t="str">
        <x:v>2</x:v>
      </x:c>
      <x:c r="B15" s="24" t="str">
        <x:v>Privileged access: maintain current reviewer evidence for every admin account.</x:v>
      </x:c>
      <x:c r="C15" s="24" t="str"/>
      <x:c r="D15" s="24" t="str"/>
      <x:c r="E15" s="24" t="str"/>
      <x:c r="F15" s="24" t="str"/>
      <x:c r="G15" s="24" t="str"/>
      <x:c r="H15" s="24" t="str"/>
    </x:row>
    <x:row r="16">
      <x:c r="A16" s="24" t="str">
        <x:v>3</x:v>
      </x:c>
      <x:c r="B16" s="24" t="str">
        <x:v>Emergency changes: automate PIR reminders and escalation.</x:v>
      </x:c>
      <x:c r="C16" s="24" t="str"/>
      <x:c r="D16" s="24" t="str"/>
      <x:c r="E16" s="24" t="str"/>
      <x:c r="F16" s="24" t="str"/>
      <x:c r="G16" s="24" t="str"/>
      <x:c r="H16" s="24" t="str"/>
    </x:row>
    <x:row r="17">
      <x:c r="A17" s="24" t="str">
        <x:v>4</x:v>
      </x:c>
      <x:c r="B17" s="24" t="str">
        <x:v>SoD governance: formalize exception approval, compensating controls and expiry.</x:v>
      </x:c>
      <x:c r="C17" s="24" t="str"/>
      <x:c r="D17" s="24" t="str"/>
      <x:c r="E17" s="24" t="str"/>
      <x:c r="F17" s="24" t="str"/>
      <x:c r="G17" s="24" t="str"/>
      <x:c r="H17" s="24" t="str"/>
    </x:row>
    <x:row r="18">
      <x:c r="A18" s="24" t="str">
        <x:v>Portfolio note</x:v>
      </x:c>
      <x:c r="B18" s="24" t="str">
        <x:v>All values are synthetic and demonstrate audit methodology only.</x:v>
      </x:c>
      <x:c r="C18" s="24" t="str"/>
      <x:c r="D18" s="24" t="str"/>
      <x:c r="E18" s="24" t="str"/>
      <x:c r="F18" s="24" t="str"/>
      <x:c r="G18" s="24" t="str"/>
      <x:c r="H18" s="24" t="str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8da63fcbfa8f4408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t="str">
        <x:v>Status</x:v>
      </x:c>
      <x:c r="B1" t="str">
        <x:v>Priority</x:v>
      </x:c>
      <x:c r="D1" t="str">
        <x:v>Test Result</x:v>
      </x:c>
      <x:c r="F1" t="str">
        <x:v>Control Type</x:v>
      </x:c>
      <x:c r="H1" t="str">
        <x:v>Frequency</x:v>
      </x:c>
    </x:row>
    <x:row r="2">
      <x:c r="A2" t="str">
        <x:v>Open</x:v>
      </x:c>
      <x:c r="B2" t="str">
        <x:v>Critical</x:v>
      </x:c>
      <x:c r="D2" t="str">
        <x:v>Pass</x:v>
      </x:c>
      <x:c r="F2" t="str">
        <x:v>Preventive</x:v>
      </x:c>
      <x:c r="H2" t="str">
        <x:v>Per Request</x:v>
      </x:c>
    </x:row>
    <x:row r="3">
      <x:c r="A3" t="str">
        <x:v>In Progress</x:v>
      </x:c>
      <x:c r="B3" t="str">
        <x:v>High</x:v>
      </x:c>
      <x:c r="D3" t="str">
        <x:v>Fail</x:v>
      </x:c>
      <x:c r="F3" t="str">
        <x:v>Detective</x:v>
      </x:c>
      <x:c r="H3" t="str">
        <x:v>Monthly</x:v>
      </x:c>
    </x:row>
    <x:row r="4">
      <x:c r="A4" t="str">
        <x:v>Pending Validation</x:v>
      </x:c>
      <x:c r="B4" t="str">
        <x:v>Medium</x:v>
      </x:c>
      <x:c r="D4" t="str">
        <x:v>Not Tested</x:v>
      </x:c>
      <x:c r="F4" t="str">
        <x:v>Corrective</x:v>
      </x:c>
      <x:c r="H4" t="str">
        <x:v>Quarterly</x:v>
      </x:c>
    </x:row>
    <x:row r="5">
      <x:c r="A5" t="str">
        <x:v>Closed</x:v>
      </x:c>
      <x:c r="B5" t="str">
        <x:v>Low</x:v>
      </x:c>
      <x:c r="F5" t="str">
        <x:v>Compensating</x:v>
      </x:c>
      <x:c r="H5" t="str">
        <x:v>Semi-Annual</x:v>
      </x:c>
    </x:row>
    <x:row r="6">
      <x:c r="A6" t="str">
        <x:v>Not Applicable</x:v>
      </x:c>
      <x:c r="B6" t="str"/>
      <x:c r="F6" t="str">
        <x:v>Directive</x:v>
      </x:c>
      <x:c r="H6" t="str">
        <x:v>Annual</x:v>
      </x:c>
    </x:row>
    <x:row r="7">
      <x:c r="A7" t="str">
        <x:v>Pass</x:v>
      </x:c>
      <x:c r="B7" t="str"/>
    </x:row>
    <x:row r="8">
      <x:c r="A8" t="str">
        <x:v>Fail</x:v>
      </x:c>
      <x:c r="B8" t="str"/>
    </x:row>
  </x:sheetData>
  <x:pageMargins left="0.7" right="0.7" top="0.75" bottom="0.75" header="0.3" footer="0.3"/>
</x:worksheet>
</file>