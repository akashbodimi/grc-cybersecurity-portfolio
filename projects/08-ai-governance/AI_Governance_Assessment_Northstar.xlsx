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d22d9c359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2927df46a14363"/>
    <x:sheet xmlns:r="http://schemas.openxmlformats.org/officeDocument/2006/relationships" name="AI Inventory" sheetId="2" r:id="Rc8bd8928305a4308"/>
    <x:sheet xmlns:r="http://schemas.openxmlformats.org/officeDocument/2006/relationships" name="Risk Register" sheetId="3" r:id="R1560840e0915435f"/>
    <x:sheet xmlns:r="http://schemas.openxmlformats.org/officeDocument/2006/relationships" name="Control Matrix" sheetId="4" r:id="R81247e8620134a0f"/>
    <x:sheet xmlns:r="http://schemas.openxmlformats.org/officeDocument/2006/relationships" name="Use Case Assessment" sheetId="5" r:id="R4f35ba1b52e442ae"/>
    <x:sheet xmlns:r="http://schemas.openxmlformats.org/officeDocument/2006/relationships" name="Evidence Index" sheetId="6" r:id="Rcd5b118c6093411f"/>
    <x:sheet xmlns:r="http://schemas.openxmlformats.org/officeDocument/2006/relationships" name="Findings" sheetId="7" r:id="Rdba578ac8a6d4934"/>
    <x:sheet xmlns:r="http://schemas.openxmlformats.org/officeDocument/2006/relationships" name="Remediation" sheetId="8" r:id="Rccda1aaf3c384f31"/>
    <x:sheet xmlns:r="http://schemas.openxmlformats.org/officeDocument/2006/relationships" name="Model Card" sheetId="9" r:id="R688af572f3b34130"/>
    <x:sheet xmlns:r="http://schemas.openxmlformats.org/officeDocument/2006/relationships" name="Executive Summary" sheetId="10" r:id="R319f75fd55d044b7"/>
    <x:sheet xmlns:r="http://schemas.openxmlformats.org/officeDocument/2006/relationships" name="Sources" sheetId="11" r:id="Rde5f69ef4abe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7FA"/>
      </x:patternFill>
    </x:fill>
    <x:fill>
      <x:patternFill patternType="solid">
        <x:fgColor rgb="FFD9EAF7"/>
      </x:patternFill>
    </x:fill>
  </x:fills>
  <x:borders count="30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top/>
      <x:bottom/>
    </x:border>
    <x:border>
      <x:top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/>
    <x:xf numFmtId="0" fontId="0" fillId="0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4" fillId="0" borderId="3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4" xfId="0" applyNumberFormat="1" applyFont="1" applyFill="1" applyBorder="1" applyAlignment="1">
      <x:alignment horizontal="center"/>
    </x:xf>
    <x:xf numFmtId="0" fontId="4" fillId="0" borderId="15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/>
    </x:xf>
    <x:xf numFmtId="0" fontId="4" fillId="0" borderId="9" xfId="0" applyNumberFormat="1" applyFont="1" applyFill="1" applyBorder="1"/>
    <x:xf numFmtId="0" fontId="4" fillId="0" borderId="11" xfId="0" applyNumberFormat="1" applyFont="1" applyFill="1" applyBorder="1"/>
    <x:xf numFmtId="0" fontId="4" fillId="0" borderId="13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17" xfId="0" applyNumberFormat="1" applyFont="1" applyFill="1" applyBorder="1" applyAlignment="1">
      <x:alignment horizontal="center"/>
    </x:xf>
    <x:xf numFmtId="0" fontId="4" fillId="0" borderId="18" xfId="0" applyNumberFormat="1" applyFont="1" applyFill="1" applyBorder="1" applyAlignment="1">
      <x:alignment horizontal="center"/>
    </x:xf>
    <x:xf numFmtId="0" fontId="4" fillId="0" borderId="19" xfId="0" applyNumberFormat="1" applyFont="1" applyFill="1" applyBorder="1" applyAlignment="1">
      <x:alignment horizontal="center"/>
    </x:xf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horizontal="center" wrapText="1"/>
    </x:xf>
    <x:xf numFmtId="0" fontId="3" fillId="4" borderId="21" xfId="0" applyNumberFormat="1" applyFont="1" applyFill="1" applyBorder="1" applyAlignment="1">
      <x:alignment horizontal="center" wrapText="1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3" fillId="4" borderId="22" xfId="0" applyNumberFormat="1" applyFont="1" applyFill="1" applyBorder="1"/>
    <x:xf numFmtId="0" fontId="3" fillId="4" borderId="23" xfId="0" applyNumberFormat="1" applyFont="1" applyFill="1" applyBorder="1"/>
    <x:xf numFmtId="0" fontId="3" fillId="4" borderId="22" xfId="0" applyNumberFormat="1" applyFont="1" applyFill="1" applyBorder="1" applyAlignment="1">
      <x:alignment wrapText="1"/>
    </x:xf>
    <x:xf numFmtId="0" fontId="3" fillId="4" borderId="23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horizontal="center" wrapText="1"/>
    </x:xf>
    <x:xf numFmtId="0" fontId="3" fillId="4" borderId="23" xfId="0" applyNumberFormat="1" applyFont="1" applyFill="1" applyBorder="1" applyAlignment="1">
      <x:alignment horizontal="center" wrapText="1"/>
    </x:xf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/>
    <x:xf numFmtId="0" fontId="3" fillId="4" borderId="24" xfId="0" applyNumberFormat="1" applyFont="1" applyFill="1" applyBorder="1" applyAlignment="1">
      <x:alignment wrapText="1"/>
    </x:xf>
    <x:xf numFmtId="0" fontId="3" fillId="4" borderId="24" xfId="0" applyNumberFormat="1" applyFont="1" applyFill="1" applyBorder="1" applyAlignment="1">
      <x:alignment horizontal="center" wrapText="1"/>
    </x:xf>
    <x:xf numFmtId="0" fontId="3" fillId="4" borderId="24" xfId="0" applyNumberFormat="1" applyFont="1" applyFill="1" applyBorder="1" applyAlignment="1">
      <x:alignment horizontal="center" vertical="center" wrapText="1"/>
    </x:xf>
    <x:xf numFmtId="0" fontId="3" fillId="4" borderId="25" xfId="0" applyNumberFormat="1" applyFont="1" applyFill="1" applyBorder="1"/>
    <x:xf numFmtId="0" fontId="3" fillId="4" borderId="25" xfId="0" applyNumberFormat="1" applyFont="1" applyFill="1" applyBorder="1" applyAlignment="1">
      <x:alignment wrapText="1"/>
    </x:xf>
    <x:xf numFmtId="0" fontId="3" fillId="4" borderId="25" xfId="0" applyNumberFormat="1" applyFont="1" applyFill="1" applyBorder="1" applyAlignment="1">
      <x:alignment horizontal="center" wrapText="1"/>
    </x:xf>
    <x:xf numFmtId="0" fontId="3" fillId="4" borderId="25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/>
    <x:xf numFmtId="0" fontId="0" fillId="0" borderId="0" xfId="0" applyNumberFormat="1" applyFont="1" applyFill="1" applyBorder="1"/>
    <x:xf numFmtId="0" fontId="0" fillId="0" borderId="27" xfId="0" applyNumberFormat="1" applyFont="1" applyFill="1" applyBorder="1"/>
    <x:xf numFmtId="0" fontId="0" fillId="0" borderId="2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200" fontId="0" fillId="0" borderId="26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27" xfId="0" applyNumberFormat="1" applyFont="1" applyFill="1" applyBorder="1" applyAlignment="1">
      <x:alignment vertical="top" wrapText="1"/>
    </x:xf>
    <x:xf numFmtId="200" fontId="0" fillId="0" borderId="2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b15215066435a" /><Relationship Type="http://schemas.openxmlformats.org/officeDocument/2006/relationships/theme" Target="/xl/theme/theme1.xml" Id="R749051a654e342e0" /><Relationship Type="http://schemas.openxmlformats.org/officeDocument/2006/relationships/sharedStrings" Target="/xl/sharedStrings.xml" Id="Rf6275fa8495d47e0" /><Relationship Type="http://schemas.openxmlformats.org/officeDocument/2006/relationships/worksheet" Target="/xl/worksheets/sheet1.xml" Id="R802927df46a14363" /><Relationship Type="http://schemas.openxmlformats.org/officeDocument/2006/relationships/worksheet" Target="/xl/worksheets/sheet2.xml" Id="Rc8bd8928305a4308" /><Relationship Type="http://schemas.openxmlformats.org/officeDocument/2006/relationships/worksheet" Target="/xl/worksheets/sheet3.xml" Id="R1560840e0915435f" /><Relationship Type="http://schemas.openxmlformats.org/officeDocument/2006/relationships/worksheet" Target="/xl/worksheets/sheet4.xml" Id="R81247e8620134a0f" /><Relationship Type="http://schemas.openxmlformats.org/officeDocument/2006/relationships/worksheet" Target="/xl/worksheets/sheet5.xml" Id="R4f35ba1b52e442ae" /><Relationship Type="http://schemas.openxmlformats.org/officeDocument/2006/relationships/worksheet" Target="/xl/worksheets/sheet6.xml" Id="Rcd5b118c6093411f" /><Relationship Type="http://schemas.openxmlformats.org/officeDocument/2006/relationships/worksheet" Target="/xl/worksheets/sheet7.xml" Id="Rdba578ac8a6d4934" /><Relationship Type="http://schemas.openxmlformats.org/officeDocument/2006/relationships/worksheet" Target="/xl/worksheets/sheet8.xml" Id="Rccda1aaf3c384f31" /><Relationship Type="http://schemas.openxmlformats.org/officeDocument/2006/relationships/worksheet" Target="/xl/worksheets/sheet9.xml" Id="R688af572f3b34130" /><Relationship Type="http://schemas.openxmlformats.org/officeDocument/2006/relationships/worksheet" Target="/xl/worksheets/sheet10.xml" Id="R319f75fd55d044b7" /><Relationship Type="http://schemas.openxmlformats.org/officeDocument/2006/relationships/worksheet" Target="/xl/worksheets/sheet11.xml" Id="Rde5f69ef4abe45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538990fc0e4654" /><Relationship Type="http://schemas.openxmlformats.org/officeDocument/2006/relationships/chart" Target="/xl/drawings/charts/chart2.xml" Id="R4db5c7a60d2148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Risk Tier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'Dashboard'!$A$13:$A$16</c:f>
              <c:strCache>
                <c:ptCount val="0"/>
              </c:strCache>
            </c:strRef>
          </c:cat>
          <c:val>
            <c:numRef>
              <c:f>'Dashboard'!$B$13:$B$16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Finding Severity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'Dashboard'!$D$13:$D$16</c:f>
              <c:strCache>
                <c:ptCount val="0"/>
              </c:strCache>
            </c:strRef>
          </c:cat>
          <c:val>
            <c:numRef>
              <c:f>'Dashboard'!$E$13:$E$16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538990fc0e4654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b5c7a60d2148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InventoryTable" displayName="AIInventoryTable" ref="A4:N9" headerRowCount="1" totalsRowCount="0" totalsRowShown="0">
  <x:tableColumns count="14">
    <x:tableColumn id="1" name="AI ID"/>
    <x:tableColumn id="2" name="System / Use Case"/>
    <x:tableColumn id="3" name="Business Function"/>
    <x:tableColumn id="4" name="AI Type"/>
    <x:tableColumn id="5" name="Purpose"/>
    <x:tableColumn id="6" name="Data Classification"/>
    <x:tableColumn id="7" name="User Group"/>
    <x:tableColumn id="8" name="Business Criticality"/>
    <x:tableColumn id="9" name="Inherent Risk"/>
    <x:tableColumn id="10" name="DPIA / Impact Assessment?"/>
    <x:tableColumn id="11" name="Human Oversight"/>
    <x:tableColumn id="12" name="Third-Party Dependency?"/>
    <x:tableColumn id="13" name="EU AI Act Screen"/>
    <x:tableColumn id="14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RiskRegisterTable" displayName="AIRiskRegisterTable" ref="A4:J11" headerRowCount="1" totalsRowCount="0" totalsRowShown="0">
  <x:tableColumns count="10">
    <x:tableColumn id="1" name="Risk ID"/>
    <x:tableColumn id="2" name="AI ID"/>
    <x:tableColumn id="3" name="Risk Statement"/>
    <x:tableColumn id="4" name="Impact (1-5)"/>
    <x:tableColumn id="5" name="Likelihood (1-5)"/>
    <x:tableColumn id="6" name="Inherent Score"/>
    <x:tableColumn id="7" name="Treatment"/>
    <x:tableColumn id="8" name="Risk Tier"/>
    <x:tableColumn id="9" name="Owner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ControlTable" displayName="AIControlTable" ref="A4:J12" headerRowCount="1" totalsRowCount="0" totalsRowShown="0">
  <x:tableColumns count="10">
    <x:tableColumn id="1" name="Control ID"/>
    <x:tableColumn id="2" name="AI RMF Function"/>
    <x:tableColumn id="3" name="Domain"/>
    <x:tableColumn id="4" name="Control Objective"/>
    <x:tableColumn id="5" name="Control Activity"/>
    <x:tableColumn id="6" name="Owner"/>
    <x:tableColumn id="7" name="Evidence"/>
    <x:tableColumn id="8" name="Design Result"/>
    <x:tableColumn id="9" name="Operating Result"/>
    <x:tableColumn id="10" name="Find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UseCaseTable" displayName="AIUseCaseTable" ref="A4:L9" headerRowCount="1" totalsRowCount="0" totalsRowShown="0">
  <x:tableColumns count="12">
    <x:tableColumn id="1" name="AI ID"/>
    <x:tableColumn id="2" name="Use Case"/>
    <x:tableColumn id="3" name="Impact on Individuals"/>
    <x:tableColumn id="4" name="Decision Influence"/>
    <x:tableColumn id="5" name="Data Sensitivity"/>
    <x:tableColumn id="6" name="Scale"/>
    <x:tableColumn id="7" name="Human Oversight"/>
    <x:tableColumn id="8" name="Transparency Need"/>
    <x:tableColumn id="9" name="EU AI Act Screening"/>
    <x:tableColumn id="10" name="Key Safeguard"/>
    <x:tableColumn id="11" name="Residual Risk"/>
    <x:tableColumn id="12" name="Assessment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EvidenceTable" displayName="AIEvidenceTable" ref="A4:H14" headerRowCount="1" totalsRowCount="0" totalsRowShown="0">
  <x:tableColumns count="8">
    <x:tableColumn id="1" name="Evidence ID"/>
    <x:tableColumn id="2" name="Control ID"/>
    <x:tableColumn id="3" name="Artifact"/>
    <x:tableColumn id="4" name="Evidence Type"/>
    <x:tableColumn id="5" name="Owner"/>
    <x:tableColumn id="6" name="Period"/>
    <x:tableColumn id="7" name="Status"/>
    <x:tableColumn id="8" name="Reviewer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IFindingsTable" displayName="AIFindingsTable" ref="A4:J10" headerRowCount="1" totalsRowCount="0" totalsRowShown="0">
  <x:tableColumns count="10">
    <x:tableColumn id="1" name="Finding ID"/>
    <x:tableColumn id="2" name="Control ID"/>
    <x:tableColumn id="3" name="AI ID"/>
    <x:tableColumn id="4" name="Domain"/>
    <x:tableColumn id="5" name="Finding"/>
    <x:tableColumn id="6" name="Severity"/>
    <x:tableColumn id="7" name="Root Cause"/>
    <x:tableColumn id="8" name="Recommendation"/>
    <x:tableColumn id="9" name="Status"/>
    <x:tableColumn id="10" name="Own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RemediationTable" displayName="AIRemediationTable" ref="A4:I10" headerRowCount="1" totalsRowCount="0" totalsRowShown="0">
  <x:tableColumns count="9">
    <x:tableColumn id="1" name="Action ID"/>
    <x:tableColumn id="2" name="Finding ID"/>
    <x:tableColumn id="3" name="Action"/>
    <x:tableColumn id="4" name="Owner"/>
    <x:tableColumn id="5" name="Priority"/>
    <x:tableColumn id="6" name="Target Date"/>
    <x:tableColumn id="7" name="Success Measure"/>
    <x:tableColumn id="8" name="Status"/>
    <x:tableColumn id="9" name="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cc765f96e347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2bb44c5a914e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98990c3afa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b94dceb0664b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afa5dc168640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d0857310fa41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e766727a924c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fee4a8131140c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18" hidden="0" customWidth="1"/>
    <x:col min="5" max="5" width="12" hidden="0" customWidth="1"/>
    <x:col min="6" max="6" width="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4" t="str">
        <x:v>AI Governance &amp; Risk Assessment — Northstar Cloud Services</x:v>
      </x:c>
    </x:row>
    <x:row r="2" ht="28" customHeight="1">
      <x:c r="A2" s="10" t="str">
        <x:v>Simulated portfolio assessment | Q3 2026 | NIST AI RMF 1.0 · NIST GenAI Profile · ISO/IEC 42001 concepts · EU AI Act screening</x:v>
      </x:c>
    </x:row>
    <x:row r="4">
      <x:c r="A4" s="18" t="str">
        <x:v>AI systems in inventory</x:v>
      </x:c>
      <x:c r="B4" s="36" t="n">
        <x:f>COUNTA('AI Inventory'!$A$5:$A$9)</x:f>
        <x:v>5</x:v>
      </x:c>
    </x:row>
    <x:row r="5">
      <x:c r="A5" s="20" t="str">
        <x:v>High/Critical inherent risks</x:v>
      </x:c>
      <x:c r="B5" s="37" t="n">
        <x:f>COUNTIF('Risk Register'!$H$5:$H$11,"High")+COUNTIF('Risk Register'!$H$5:$H$11,"Critical")</x:f>
        <x:v>5</x:v>
      </x:c>
    </x:row>
    <x:row r="6">
      <x:c r="A6" s="20" t="str">
        <x:v>Open findings</x:v>
      </x:c>
      <x:c r="B6" s="37" t="n">
        <x:f>COUNTIF(Findings!$I$5:$I$10,"Open")+COUNTIF(Findings!$I$5:$I$10,"In Progress")</x:f>
        <x:v>6</x:v>
      </x:c>
    </x:row>
    <x:row r="7">
      <x:c r="A7" s="20" t="str">
        <x:v>Open High/Critical findings</x:v>
      </x:c>
      <x:c r="B7" s="37" t="n">
        <x:f>COUNTIF(Findings!$F$5:$F$10,"High")+COUNTIF(Findings!$F$5:$F$10,"Critical")</x:f>
        <x:v>2</x:v>
      </x:c>
    </x:row>
    <x:row r="8">
      <x:c r="A8" s="20" t="str">
        <x:v>DPIA / impact assessments</x:v>
      </x:c>
      <x:c r="B8" s="37" t="n">
        <x:f>COUNTIF('AI Inventory'!$J$5:$J$9,"Yes")</x:f>
        <x:v>3</x:v>
      </x:c>
    </x:row>
    <x:row r="9">
      <x:c r="A9" s="22" t="str">
        <x:v>Vendor / third-party AI dependencies</x:v>
      </x:c>
      <x:c r="B9" s="38" t="n">
        <x:f>COUNTIF('AI Inventory'!$L$5:$L$9,"Yes")</x:f>
        <x:v>4</x:v>
      </x:c>
    </x:row>
    <x:row r="12">
      <x:c r="A12" s="54" t="str">
        <x:v>Risk Tier</x:v>
      </x:c>
      <x:c r="B12" s="55" t="str">
        <x:v>Count</x:v>
      </x:c>
      <x:c r="D12" s="54" t="str">
        <x:v>Severity</x:v>
      </x:c>
      <x:c r="E12" s="55" t="str">
        <x:v>Count</x:v>
      </x:c>
    </x:row>
    <x:row r="13">
      <x:c r="A13" s="73" t="str">
        <x:v>Critical</x:v>
      </x:c>
      <x:c r="B13" s="74" t="n">
        <x:f>COUNTIF('Risk Register'!$H$5:$H$11,"Critical")</x:f>
        <x:v>1</x:v>
      </x:c>
      <x:c r="D13" s="73" t="str">
        <x:v>Critical</x:v>
      </x:c>
      <x:c r="E13" s="74" t="n">
        <x:f>COUNTIF(Findings!$F$5:$F$10,"Critical")</x:f>
        <x:v>0</x:v>
      </x:c>
    </x:row>
    <x:row r="14">
      <x:c r="A14" s="75" t="str">
        <x:v>High</x:v>
      </x:c>
      <x:c r="B14" s="76" t="n">
        <x:f>COUNTIF('Risk Register'!$H$5:$H$11,"High")</x:f>
        <x:v>4</x:v>
      </x:c>
      <x:c r="D14" s="75" t="str">
        <x:v>High</x:v>
      </x:c>
      <x:c r="E14" s="76" t="n">
        <x:f>COUNTIF(Findings!$F$5:$F$10,"High")</x:f>
        <x:v>2</x:v>
      </x:c>
    </x:row>
    <x:row r="15">
      <x:c r="A15" s="75" t="str">
        <x:v>Medium</x:v>
      </x:c>
      <x:c r="B15" s="76" t="n">
        <x:f>COUNTIF('Risk Register'!$H$5:$H$11,"Medium")</x:f>
        <x:v>2</x:v>
      </x:c>
      <x:c r="D15" s="75" t="str">
        <x:v>Medium</x:v>
      </x:c>
      <x:c r="E15" s="76" t="n">
        <x:f>COUNTIF(Findings!$F$5:$F$10,"Medium")</x:f>
        <x:v>2</x:v>
      </x:c>
    </x:row>
    <x:row r="16">
      <x:c r="A16" s="77" t="str">
        <x:v>Low</x:v>
      </x:c>
      <x:c r="B16" s="78" t="n">
        <x:f>COUNTIF('Risk Register'!$H$5:$H$11,"Low")</x:f>
        <x:v>0</x:v>
      </x:c>
      <x:c r="D16" s="77" t="str">
        <x:v>Low</x:v>
      </x:c>
      <x:c r="E16" s="78" t="n">
        <x:f>COUNTIF(Findings!$F$5:$F$10,"Low")</x:f>
        <x:v>2</x:v>
      </x:c>
    </x:row>
    <x:row r="17">
      <x:c r="A17" t="str"/>
      <x:c r="B17" t="str"/>
    </x:row>
    <x:row r="20">
      <x:c r="A20" s="54" t="str">
        <x:v>Area</x:v>
      </x:c>
      <x:c r="B20" s="55" t="str">
        <x:v>Observation</x:v>
      </x:c>
    </x:row>
    <x:row r="21">
      <x:c r="A21" s="73" t="str">
        <x:v>AI Inventory</x:v>
      </x:c>
      <x:c r="B21" s="74" t="str">
        <x:v>Five simulated AI systems are catalogued with use case, owner, data classification and third-party dependency.</x:v>
      </x:c>
    </x:row>
    <x:row r="22">
      <x:c r="A22" s="75" t="str">
        <x:v>Risk</x:v>
      </x:c>
      <x:c r="B22" s="76" t="str">
        <x:v>Impact × likelihood is used solely as an internal portfolio prioritisation method.</x:v>
      </x:c>
    </x:row>
    <x:row r="23">
      <x:c r="A23" s="75" t="str">
        <x:v>Governance</x:v>
      </x:c>
      <x:c r="B23" s="76" t="str">
        <x:v>Controls are aligned to NIST AI RMF Govern, Map, Measure and Manage themes.</x:v>
      </x:c>
    </x:row>
    <x:row r="24">
      <x:c r="A24" s="75" t="str">
        <x:v>Regulatory</x:v>
      </x:c>
      <x:c r="B24" s="76" t="str">
        <x:v>EU AI Act screening is use-case specific and reflects the regulatory landscape as of September 2026.</x:v>
      </x:c>
    </x:row>
    <x:row r="25">
      <x:c r="A25" s="77" t="str">
        <x:v>Limitation</x:v>
      </x:c>
      <x:c r="B25" s="78" t="str">
        <x:v>All systems, evidence, risks, findings and decisions are fictional portfolio artifacts.</x:v>
      </x:c>
    </x:row>
  </x:sheetData>
  <x:mergeCells>
    <x:mergeCell ref="A2:N2"/>
  </x:mergeCells>
  <x:pageMargins left="0.7" right="0.7" top="0.75" bottom="0.75" header="0.3" footer="0.3"/>
  <x:drawing xmlns:r="http://schemas.openxmlformats.org/officeDocument/2006/relationships" r:id="R7ccc765f96e347ab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6" hidden="0" customWidth="1"/>
    <x:col min="9" max="9" width="14" hidden="0" customWidth="1"/>
    <x:col min="10" max="10" width="18" hidden="0" customWidth="1"/>
    <x:col min="11" max="11" width="26" hidden="0" customWidth="1"/>
    <x:col min="12" max="12" width="18" hidden="0" customWidth="1"/>
    <x:col min="13" max="13" width="30" hidden="0" customWidth="1"/>
    <x:col min="14" max="14" width="20" hidden="0" customWidth="1"/>
  </x:cols>
  <x:sheetData>
    <x:row r="1">
      <x:c r="A1" s="4" t="str">
        <x:v>AI System Inventory</x:v>
      </x:c>
    </x:row>
    <x:row r="2">
      <x:c r="A2" t="str">
        <x:v>AI inventory / system register — fictional systems only</x:v>
      </x:c>
    </x:row>
    <x:row r="4">
      <x:c r="A4" s="54" t="str">
        <x:v>AI ID</x:v>
      </x:c>
      <x:c r="B4" s="97" t="str">
        <x:v>System / Use Case</x:v>
      </x:c>
      <x:c r="C4" s="97" t="str">
        <x:v>Business Function</x:v>
      </x:c>
      <x:c r="D4" s="97" t="str">
        <x:v>AI Type</x:v>
      </x:c>
      <x:c r="E4" s="97" t="str">
        <x:v>Purpose</x:v>
      </x:c>
      <x:c r="F4" s="97" t="str">
        <x:v>Data Classification</x:v>
      </x:c>
      <x:c r="G4" s="97" t="str">
        <x:v>User Group</x:v>
      </x:c>
      <x:c r="H4" s="97" t="str">
        <x:v>Business Criticality</x:v>
      </x:c>
      <x:c r="I4" s="97" t="str">
        <x:v>Inherent Risk</x:v>
      </x:c>
      <x:c r="J4" s="97" t="str">
        <x:v>DPIA / Impact Assessment?</x:v>
      </x:c>
      <x:c r="K4" s="97" t="str">
        <x:v>Human Oversight</x:v>
      </x:c>
      <x:c r="L4" s="97" t="str">
        <x:v>Third-Party Dependency?</x:v>
      </x:c>
      <x:c r="M4" s="97" t="str">
        <x:v>EU AI Act Screen</x:v>
      </x:c>
      <x:c r="N4" s="55" t="str">
        <x:v>Owner</x:v>
      </x:c>
    </x:row>
    <x:row r="5">
      <x:c r="A5" s="73" t="str">
        <x:v>AI-001</x:v>
      </x:c>
      <x:c r="B5" s="108" t="str">
        <x:v>Support Copilot</x:v>
      </x:c>
      <x:c r="C5" s="108" t="str">
        <x:v>Customer Support</x:v>
      </x:c>
      <x:c r="D5" s="108" t="str">
        <x:v>Generative AI</x:v>
      </x:c>
      <x:c r="E5" s="108" t="str">
        <x:v>Draft support responses and summarize tickets</x:v>
      </x:c>
      <x:c r="F5" s="108" t="str">
        <x:v>Confidential</x:v>
      </x:c>
      <x:c r="G5" s="108" t="str">
        <x:v>Support agents</x:v>
      </x:c>
      <x:c r="H5" s="108" t="str">
        <x:v>High</x:v>
      </x:c>
      <x:c r="I5" s="108" t="n">
        <x:f>IF(H5="High",15,IF(H5="Medium",9,5))</x:f>
        <x:v>15</x:v>
      </x:c>
      <x:c r="J5" s="108" t="str">
        <x:v>Yes</x:v>
      </x:c>
      <x:c r="K5" s="108" t="str">
        <x:v>Required before send</x:v>
      </x:c>
      <x:c r="L5" s="108" t="str">
        <x:v>Yes</x:v>
      </x:c>
      <x:c r="M5" s="108" t="str">
        <x:v>Transparency assessment</x:v>
      </x:c>
      <x:c r="N5" s="74" t="str">
        <x:v>Support Operations</x:v>
      </x:c>
    </x:row>
    <x:row r="6">
      <x:c r="A6" s="75" t="str">
        <x:v>AI-002</x:v>
      </x:c>
      <x:c r="B6" s="109" t="str">
        <x:v>Threat Detection Assistant</x:v>
      </x:c>
      <x:c r="C6" s="109" t="str">
        <x:v>Security Operations</x:v>
      </x:c>
      <x:c r="D6" s="109" t="str">
        <x:v>Generative AI</x:v>
      </x:c>
      <x:c r="E6" s="109" t="str">
        <x:v>Summarize alerts and suggest investigation steps</x:v>
      </x:c>
      <x:c r="F6" s="109" t="str">
        <x:v>Restricted</x:v>
      </x:c>
      <x:c r="G6" s="109" t="str">
        <x:v>SOC analysts</x:v>
      </x:c>
      <x:c r="H6" s="109" t="str">
        <x:v>High</x:v>
      </x:c>
      <x:c r="I6" s="109" t="n">
        <x:f>IF(H6="High",15,IF(H6="Medium",9,5))</x:f>
        <x:v>15</x:v>
      </x:c>
      <x:c r="J6" s="109" t="str">
        <x:v>Yes</x:v>
      </x:c>
      <x:c r="K6" s="109" t="str">
        <x:v>Analyst review required</x:v>
      </x:c>
      <x:c r="L6" s="109" t="str">
        <x:v>Yes</x:v>
      </x:c>
      <x:c r="M6" s="109" t="str">
        <x:v>GPAI/provider and security assessment</x:v>
      </x:c>
      <x:c r="N6" s="76" t="str">
        <x:v>Security Operations</x:v>
      </x:c>
    </x:row>
    <x:row r="7">
      <x:c r="A7" s="75" t="str">
        <x:v>AI-003</x:v>
      </x:c>
      <x:c r="B7" s="109" t="str">
        <x:v>Candidate Screening Assistant</x:v>
      </x:c>
      <x:c r="C7" s="109" t="str">
        <x:v>Human Resources</x:v>
      </x:c>
      <x:c r="D7" s="109" t="str">
        <x:v>ML / Classification</x:v>
      </x:c>
      <x:c r="E7" s="109" t="str">
        <x:v>Rank applicant profiles for recruiter review</x:v>
      </x:c>
      <x:c r="F7" s="109" t="str">
        <x:v>Restricted</x:v>
      </x:c>
      <x:c r="G7" s="109" t="str">
        <x:v>HR recruiters</x:v>
      </x:c>
      <x:c r="H7" s="109" t="str">
        <x:v>High</x:v>
      </x:c>
      <x:c r="I7" s="109" t="n">
        <x:f>IF(H7="High",15,IF(H7="Medium",9,5))</x:f>
        <x:v>15</x:v>
      </x:c>
      <x:c r="J7" s="109" t="str">
        <x:v>Yes</x:v>
      </x:c>
      <x:c r="K7" s="109" t="str">
        <x:v>Recruiter decision required</x:v>
      </x:c>
      <x:c r="L7" s="109" t="str">
        <x:v>Yes</x:v>
      </x:c>
      <x:c r="M7" s="109" t="str">
        <x:v>Potential high-risk use case</x:v>
      </x:c>
      <x:c r="N7" s="76" t="str">
        <x:v>HR Systems</x:v>
      </x:c>
    </x:row>
    <x:row r="8">
      <x:c r="A8" s="75" t="str">
        <x:v>AI-004</x:v>
      </x:c>
      <x:c r="B8" s="109" t="str">
        <x:v>Demand Forecasting Model</x:v>
      </x:c>
      <x:c r="C8" s="109" t="str">
        <x:v>Finance / Operations</x:v>
      </x:c>
      <x:c r="D8" s="109" t="str">
        <x:v>Machine Learning</x:v>
      </x:c>
      <x:c r="E8" s="109" t="str">
        <x:v>Forecast service demand for capacity planning</x:v>
      </x:c>
      <x:c r="F8" s="109" t="str">
        <x:v>Internal</x:v>
      </x:c>
      <x:c r="G8" s="109" t="str">
        <x:v>Operations planners</x:v>
      </x:c>
      <x:c r="H8" s="109" t="str">
        <x:v>Medium</x:v>
      </x:c>
      <x:c r="I8" s="109" t="n">
        <x:f>IF(H8="High",15,IF(H8="Medium",9,5))</x:f>
        <x:v>9</x:v>
      </x:c>
      <x:c r="J8" s="109" t="str">
        <x:v>No</x:v>
      </x:c>
      <x:c r="K8" s="109" t="str">
        <x:v>Planner review</x:v>
      </x:c>
      <x:c r="L8" s="109" t="str">
        <x:v>No</x:v>
      </x:c>
      <x:c r="M8" s="109" t="str">
        <x:v>Applicability check</x:v>
      </x:c>
      <x:c r="N8" s="76" t="str">
        <x:v>Operations Analytics</x:v>
      </x:c>
    </x:row>
    <x:row r="9">
      <x:c r="A9" s="77" t="str">
        <x:v>AI-005</x:v>
      </x:c>
      <x:c r="B9" s="110" t="str">
        <x:v>Marketing Content Assistant</x:v>
      </x:c>
      <x:c r="C9" s="110" t="str">
        <x:v>Marketing</x:v>
      </x:c>
      <x:c r="D9" s="110" t="str">
        <x:v>Generative AI</x:v>
      </x:c>
      <x:c r="E9" s="110" t="str">
        <x:v>Draft campaign copy and variants</x:v>
      </x:c>
      <x:c r="F9" s="110" t="str">
        <x:v>Internal</x:v>
      </x:c>
      <x:c r="G9" s="110" t="str">
        <x:v>Marketing team</x:v>
      </x:c>
      <x:c r="H9" s="110" t="str">
        <x:v>Low</x:v>
      </x:c>
      <x:c r="I9" s="110" t="n">
        <x:f>IF(H9="High",15,IF(H9="Medium",9,5))</x:f>
        <x:v>5</x:v>
      </x:c>
      <x:c r="J9" s="110" t="str">
        <x:v>No</x:v>
      </x:c>
      <x:c r="K9" s="110" t="str">
        <x:v>Human review before publication</x:v>
      </x:c>
      <x:c r="L9" s="110" t="str">
        <x:v>Yes</x:v>
      </x:c>
      <x:c r="M9" s="110" t="str">
        <x:v>Transparency/content assessment</x:v>
      </x:c>
      <x:c r="N9" s="78" t="str">
        <x:v>Marketing Operations</x:v>
      </x:c>
    </x:row>
  </x:sheetData>
  <x:mergeCells>
    <x:mergeCell ref="A2:N2"/>
  </x:mergeCells>
  <x:conditionalFormatting sqref="I5:I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dataValidations count="2">
    <x:dataValidation type="list" sqref="J5:J9">
      <x:formula1>"Yes,No"</x:formula1>
    </x:dataValidation>
    <x:dataValidation type="list" sqref="L5:L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2bb44c5a914e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3" hidden="0" customWidth="1"/>
    <x:col min="9" max="9" width="22" hidden="0" customWidth="1"/>
    <x:col min="10" max="10" width="14" hidden="0" customWidth="1"/>
  </x:cols>
  <x:sheetData>
    <x:row r="1">
      <x:c r="A1" s="4" t="str">
        <x:v>AI Risk Register</x:v>
      </x:c>
    </x:row>
    <x:row r="2">
      <x:c r="A2" t="str">
        <x:v>Internal scoring: Impact × Likelihood. Not a statutory or legal risk formula.</x:v>
      </x:c>
    </x:row>
    <x:row r="4">
      <x:c r="A4" s="54" t="str">
        <x:v>Risk ID</x:v>
      </x:c>
      <x:c r="B4" s="97" t="str">
        <x:v>AI ID</x:v>
      </x:c>
      <x:c r="C4" s="97" t="str">
        <x:v>Risk Statement</x:v>
      </x:c>
      <x:c r="D4" s="97" t="str">
        <x:v>Impact (1-5)</x:v>
      </x:c>
      <x:c r="E4" s="97" t="str">
        <x:v>Likelihood (1-5)</x:v>
      </x:c>
      <x:c r="F4" s="97" t="str">
        <x:v>Inherent Score</x:v>
      </x:c>
      <x:c r="G4" s="97" t="str">
        <x:v>Treatment</x:v>
      </x:c>
      <x:c r="H4" s="97" t="str">
        <x:v>Risk Tier</x:v>
      </x:c>
      <x:c r="I4" s="97" t="str">
        <x:v>Owner</x:v>
      </x:c>
      <x:c r="J4" s="55" t="str">
        <x:v>Status</x:v>
      </x:c>
    </x:row>
    <x:row r="5">
      <x:c r="A5" s="73" t="str">
        <x:v>R-001</x:v>
      </x:c>
      <x:c r="B5" s="108" t="str">
        <x:v>AI-003</x:v>
      </x:c>
      <x:c r="C5" s="108" t="str">
        <x:v>Candidate-ranking output may reproduce bias or disadvantage applicants.</x:v>
      </x:c>
      <x:c r="D5" s="108" t="n">
        <x:v>5</x:v>
      </x:c>
      <x:c r="E5" s="108" t="n">
        <x:v>4</x:v>
      </x:c>
      <x:c r="F5" s="108" t="n">
        <x:f>D5*E5</x:f>
        <x:v>20</x:v>
      </x:c>
      <x:c r="G5" s="108" t="str">
        <x:v>Reduce</x:v>
      </x:c>
      <x:c r="H5" s="108" t="str">
        <x:f>IF(F5&gt;=20,"Critical",IF(F5&gt;=12,"High",IF(F5&gt;=6,"Medium","Low")))</x:f>
        <x:v>Critical</x:v>
      </x:c>
      <x:c r="I5" s="108" t="str">
        <x:v>HR Systems</x:v>
      </x:c>
      <x:c r="J5" s="74" t="str">
        <x:v>Open</x:v>
      </x:c>
    </x:row>
    <x:row r="6">
      <x:c r="A6" s="75" t="str">
        <x:v>R-002</x:v>
      </x:c>
      <x:c r="B6" s="109" t="str">
        <x:v>AI-003</x:v>
      </x:c>
      <x:c r="C6" s="109" t="str">
        <x:v>Recruiters may over-rely on AI rankings without sufficient human review.</x:v>
      </x:c>
      <x:c r="D6" s="109" t="n">
        <x:v>5</x:v>
      </x:c>
      <x:c r="E6" s="109" t="n">
        <x:v>3</x:v>
      </x:c>
      <x:c r="F6" s="109" t="n">
        <x:f>D6*E6</x:f>
        <x:v>15</x:v>
      </x:c>
      <x:c r="G6" s="109" t="str">
        <x:v>Reduce</x:v>
      </x:c>
      <x:c r="H6" s="109" t="str">
        <x:f>IF(F6&gt;=20,"Critical",IF(F6&gt;=12,"High",IF(F6&gt;=6,"Medium","Low")))</x:f>
        <x:v>High</x:v>
      </x:c>
      <x:c r="I6" s="109" t="str">
        <x:v>HR Systems</x:v>
      </x:c>
      <x:c r="J6" s="76" t="str">
        <x:v>Open</x:v>
      </x:c>
    </x:row>
    <x:row r="7">
      <x:c r="A7" s="75" t="str">
        <x:v>R-003</x:v>
      </x:c>
      <x:c r="B7" s="109" t="str">
        <x:v>AI-001</x:v>
      </x:c>
      <x:c r="C7" s="109" t="str">
        <x:v>Sensitive ticket content may be exposed to a third-party model provider.</x:v>
      </x:c>
      <x:c r="D7" s="109" t="n">
        <x:v>4</x:v>
      </x:c>
      <x:c r="E7" s="109" t="n">
        <x:v>3</x:v>
      </x:c>
      <x:c r="F7" s="109" t="n">
        <x:f>D7*E7</x:f>
        <x:v>12</x:v>
      </x:c>
      <x:c r="G7" s="109" t="str">
        <x:v>Reduce</x:v>
      </x:c>
      <x:c r="H7" s="109" t="str">
        <x:f>IF(F7&gt;=20,"Critical",IF(F7&gt;=12,"High",IF(F7&gt;=6,"Medium","Low")))</x:f>
        <x:v>High</x:v>
      </x:c>
      <x:c r="I7" s="109" t="str">
        <x:v>Support Operations</x:v>
      </x:c>
      <x:c r="J7" s="76" t="str">
        <x:v>Open</x:v>
      </x:c>
    </x:row>
    <x:row r="8">
      <x:c r="A8" s="75" t="str">
        <x:v>R-004</x:v>
      </x:c>
      <x:c r="B8" s="109" t="str">
        <x:v>AI-002</x:v>
      </x:c>
      <x:c r="C8" s="109" t="str">
        <x:v>Generated investigation summaries may contain inaccurate or incomplete security conclusions.</x:v>
      </x:c>
      <x:c r="D8" s="109" t="n">
        <x:v>5</x:v>
      </x:c>
      <x:c r="E8" s="109" t="n">
        <x:v>3</x:v>
      </x:c>
      <x:c r="F8" s="109" t="n">
        <x:f>D8*E8</x:f>
        <x:v>15</x:v>
      </x:c>
      <x:c r="G8" s="109" t="str">
        <x:v>Reduce</x:v>
      </x:c>
      <x:c r="H8" s="109" t="str">
        <x:f>IF(F8&gt;=20,"Critical",IF(F8&gt;=12,"High",IF(F8&gt;=6,"Medium","Low")))</x:f>
        <x:v>High</x:v>
      </x:c>
      <x:c r="I8" s="109" t="str">
        <x:v>Security Operations</x:v>
      </x:c>
      <x:c r="J8" s="76" t="str">
        <x:v>Open</x:v>
      </x:c>
    </x:row>
    <x:row r="9">
      <x:c r="A9" s="75" t="str">
        <x:v>R-005</x:v>
      </x:c>
      <x:c r="B9" s="109" t="str">
        <x:v>AI-005</x:v>
      </x:c>
      <x:c r="C9" s="109" t="str">
        <x:v>Generated marketing content may include unsupported factual claims.</x:v>
      </x:c>
      <x:c r="D9" s="109" t="n">
        <x:v>3</x:v>
      </x:c>
      <x:c r="E9" s="109" t="n">
        <x:v>2</x:v>
      </x:c>
      <x:c r="F9" s="109" t="n">
        <x:f>D9*E9</x:f>
        <x:v>6</x:v>
      </x:c>
      <x:c r="G9" s="109" t="str">
        <x:v>Monitor</x:v>
      </x:c>
      <x:c r="H9" s="109" t="str">
        <x:f>IF(F9&gt;=20,"Critical",IF(F9&gt;=12,"High",IF(F9&gt;=6,"Medium","Low")))</x:f>
        <x:v>Medium</x:v>
      </x:c>
      <x:c r="I9" s="109" t="str">
        <x:v>Marketing Operations</x:v>
      </x:c>
      <x:c r="J9" s="76" t="str">
        <x:v>In Progress</x:v>
      </x:c>
    </x:row>
    <x:row r="10">
      <x:c r="A10" s="75" t="str">
        <x:v>R-006</x:v>
      </x:c>
      <x:c r="B10" s="109" t="str">
        <x:v>AI-004</x:v>
      </x:c>
      <x:c r="C10" s="109" t="str">
        <x:v>Forecast model drift may affect capacity decisions.</x:v>
      </x:c>
      <x:c r="D10" s="109" t="n">
        <x:v>3</x:v>
      </x:c>
      <x:c r="E10" s="109" t="n">
        <x:v>2</x:v>
      </x:c>
      <x:c r="F10" s="109" t="n">
        <x:f>D10*E10</x:f>
        <x:v>6</x:v>
      </x:c>
      <x:c r="G10" s="109" t="str">
        <x:v>Monitor</x:v>
      </x:c>
      <x:c r="H10" s="109" t="str">
        <x:f>IF(F10&gt;=20,"Critical",IF(F10&gt;=12,"High",IF(F10&gt;=6,"Medium","Low")))</x:f>
        <x:v>Medium</x:v>
      </x:c>
      <x:c r="I10" s="109" t="str">
        <x:v>Operations Analytics</x:v>
      </x:c>
      <x:c r="J10" s="76" t="str">
        <x:v>Open</x:v>
      </x:c>
    </x:row>
    <x:row r="11">
      <x:c r="A11" s="77" t="str">
        <x:v>R-007</x:v>
      </x:c>
      <x:c r="B11" s="110" t="str">
        <x:v>AI-002</x:v>
      </x:c>
      <x:c r="C11" s="110" t="str">
        <x:v>Third-party model dependency may create confidentiality, availability or change-management risk.</x:v>
      </x:c>
      <x:c r="D11" s="110" t="n">
        <x:v>4</x:v>
      </x:c>
      <x:c r="E11" s="110" t="n">
        <x:v>3</x:v>
      </x:c>
      <x:c r="F11" s="110" t="n">
        <x:f>D11*E11</x:f>
        <x:v>12</x:v>
      </x:c>
      <x:c r="G11" s="110" t="str">
        <x:v>Reduce</x:v>
      </x:c>
      <x:c r="H11" s="110" t="str">
        <x:f>IF(F11&gt;=20,"Critical",IF(F11&gt;=12,"High",IF(F11&gt;=6,"Medium","Low")))</x:f>
        <x:v>High</x:v>
      </x:c>
      <x:c r="I11" s="110" t="str">
        <x:v>Security Operations</x:v>
      </x:c>
      <x:c r="J11" s="78" t="str">
        <x:v>Open</x:v>
      </x:c>
    </x:row>
  </x:sheetData>
  <x:mergeCells>
    <x:mergeCell ref="A2:J2"/>
  </x:mergeCells>
  <x:conditionalFormatting sqref="F5:F1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dataValidations count="2">
    <x:dataValidation type="list" sqref="G5:G11">
      <x:formula1>"Reduce,Monitor,Accept,Avoid"</x:formula1>
    </x:dataValidation>
    <x:dataValidation type="list" sqref="J5:J11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98990c3afa43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30" hidden="0" customWidth="1"/>
    <x:col min="5" max="5" width="42" hidden="0" customWidth="1"/>
    <x:col min="6" max="6" width="20" hidden="0" customWidth="1"/>
    <x:col min="7" max="7" width="30" hidden="0" customWidth="1"/>
    <x:col min="8" max="8" width="18" hidden="0" customWidth="1"/>
    <x:col min="9" max="9" width="18" hidden="0" customWidth="1"/>
    <x:col min="10" max="10" width="14" hidden="0" customWidth="1"/>
  </x:cols>
  <x:sheetData>
    <x:row r="1">
      <x:c r="A1" s="4" t="str">
        <x:v>AI Governance Control Matrix</x:v>
      </x:c>
    </x:row>
    <x:row r="2">
      <x:c r="A2" t="str">
        <x:v>NIST AI RMF Govern / Map / Measure / Manage themes with complementary AI management-system concepts.</x:v>
      </x:c>
    </x:row>
    <x:row r="4">
      <x:c r="A4" s="54" t="str">
        <x:v>Control ID</x:v>
      </x:c>
      <x:c r="B4" s="97" t="str">
        <x:v>AI RMF Function</x:v>
      </x:c>
      <x:c r="C4" s="97" t="str">
        <x:v>Domain</x:v>
      </x:c>
      <x:c r="D4" s="97" t="str">
        <x:v>Control Objective</x:v>
      </x:c>
      <x:c r="E4" s="97" t="str">
        <x:v>Control Activity</x:v>
      </x:c>
      <x:c r="F4" s="97" t="str">
        <x:v>Owner</x:v>
      </x:c>
      <x:c r="G4" s="97" t="str">
        <x:v>Evidence</x:v>
      </x:c>
      <x:c r="H4" s="97" t="str">
        <x:v>Design Result</x:v>
      </x:c>
      <x:c r="I4" s="97" t="str">
        <x:v>Operating Result</x:v>
      </x:c>
      <x:c r="J4" s="55" t="str">
        <x:v>Finding</x:v>
      </x:c>
    </x:row>
    <x:row r="5">
      <x:c r="A5" s="73" t="str">
        <x:v>AI-GOV-01</x:v>
      </x:c>
      <x:c r="B5" s="108" t="str">
        <x:v>GOVERN</x:v>
      </x:c>
      <x:c r="C5" s="108" t="str">
        <x:v>Governance</x:v>
      </x:c>
      <x:c r="D5" s="108" t="str">
        <x:v>Establish accountability for AI systems</x:v>
      </x:c>
      <x:c r="E5" s="108" t="str">
        <x:v>Each AI system has an accountable business owner and documented use case.</x:v>
      </x:c>
      <x:c r="F5" s="108" t="str">
        <x:v>AI Governance</x:v>
      </x:c>
      <x:c r="G5" s="108" t="str">
        <x:v>AI inventory; owner attestation</x:v>
      </x:c>
      <x:c r="H5" s="108" t="str">
        <x:v>Effective</x:v>
      </x:c>
      <x:c r="I5" s="108" t="str">
        <x:v>Effective</x:v>
      </x:c>
      <x:c r="J5" s="74" t="str"/>
    </x:row>
    <x:row r="6">
      <x:c r="A6" s="75" t="str">
        <x:v>AI-GOV-02</x:v>
      </x:c>
      <x:c r="B6" s="109" t="str">
        <x:v>MAP</x:v>
      </x:c>
      <x:c r="C6" s="109" t="str">
        <x:v>AI Inventory</x:v>
      </x:c>
      <x:c r="D6" s="109" t="str">
        <x:v>Understand context and intended use</x:v>
      </x:c>
      <x:c r="E6" s="109" t="str">
        <x:v>AI inventory records purpose, users, data and criticality before production use.</x:v>
      </x:c>
      <x:c r="F6" s="109" t="str">
        <x:v>AI Governance</x:v>
      </x:c>
      <x:c r="G6" s="109" t="str">
        <x:v>AI inventory; intake record</x:v>
      </x:c>
      <x:c r="H6" s="109" t="str">
        <x:v>Effective</x:v>
      </x:c>
      <x:c r="I6" s="109" t="str">
        <x:v>Effective</x:v>
      </x:c>
      <x:c r="J6" s="76" t="str"/>
    </x:row>
    <x:row r="7">
      <x:c r="A7" s="75" t="str">
        <x:v>AI-GOV-03</x:v>
      </x:c>
      <x:c r="B7" s="109" t="str">
        <x:v>MAP</x:v>
      </x:c>
      <x:c r="C7" s="109" t="str">
        <x:v>Impact Assessment</x:v>
      </x:c>
      <x:c r="D7" s="109" t="str">
        <x:v>Identify affected stakeholders and impact</x:v>
      </x:c>
      <x:c r="E7" s="109" t="str">
        <x:v>Higher-impact use cases receive documented impact/DPIA assessment.</x:v>
      </x:c>
      <x:c r="F7" s="109" t="str">
        <x:v>Privacy / HR</x:v>
      </x:c>
      <x:c r="G7" s="109" t="str">
        <x:v>DPIA; impact assessment</x:v>
      </x:c>
      <x:c r="H7" s="109" t="str">
        <x:v>Needs Improvement</x:v>
      </x:c>
      <x:c r="I7" s="109" t="str">
        <x:v>Needs Improvement</x:v>
      </x:c>
      <x:c r="J7" s="76" t="str">
        <x:v>AI-F-001</x:v>
      </x:c>
    </x:row>
    <x:row r="8">
      <x:c r="A8" s="75" t="str">
        <x:v>AI-GOV-04</x:v>
      </x:c>
      <x:c r="B8" s="109" t="str">
        <x:v>MEASURE</x:v>
      </x:c>
      <x:c r="C8" s="109" t="str">
        <x:v>Validation</x:v>
      </x:c>
      <x:c r="D8" s="109" t="str">
        <x:v>Test model performance and limitations</x:v>
      </x:c>
      <x:c r="E8" s="109" t="str">
        <x:v>Use-case owners document evaluation metrics, limitations and validation results before release.</x:v>
      </x:c>
      <x:c r="F8" s="109" t="str">
        <x:v>Model Owner</x:v>
      </x:c>
      <x:c r="G8" s="109" t="str">
        <x:v>Evaluation report; test summary</x:v>
      </x:c>
      <x:c r="H8" s="109" t="str">
        <x:v>Needs Improvement</x:v>
      </x:c>
      <x:c r="I8" s="109" t="str">
        <x:v>Open</x:v>
      </x:c>
      <x:c r="J8" s="76" t="str">
        <x:v>AI-F-002</x:v>
      </x:c>
    </x:row>
    <x:row r="9">
      <x:c r="A9" s="75" t="str">
        <x:v>AI-GOV-05</x:v>
      </x:c>
      <x:c r="B9" s="109" t="str">
        <x:v>MEASURE</x:v>
      </x:c>
      <x:c r="C9" s="109" t="str">
        <x:v>Human Oversight</x:v>
      </x:c>
      <x:c r="D9" s="109" t="str">
        <x:v>Ensure meaningful human review</x:v>
      </x:c>
      <x:c r="E9" s="109" t="str">
        <x:v>Human reviewers can override AI outputs and decisions are logged for higher-risk use cases.</x:v>
      </x:c>
      <x:c r="F9" s="109" t="str">
        <x:v>Business Owner</x:v>
      </x:c>
      <x:c r="G9" s="109" t="str">
        <x:v>Review procedure; sample decisions</x:v>
      </x:c>
      <x:c r="H9" s="109" t="str">
        <x:v>Effective</x:v>
      </x:c>
      <x:c r="I9" s="109" t="str">
        <x:v>Needs Improvement</x:v>
      </x:c>
      <x:c r="J9" s="76" t="str">
        <x:v>AI-F-003</x:v>
      </x:c>
    </x:row>
    <x:row r="10">
      <x:c r="A10" s="75" t="str">
        <x:v>AI-GOV-06</x:v>
      </x:c>
      <x:c r="B10" s="109" t="str">
        <x:v>MANAGE</x:v>
      </x:c>
      <x:c r="C10" s="109" t="str">
        <x:v>Incident Management</x:v>
      </x:c>
      <x:c r="D10" s="109" t="str">
        <x:v>Respond to AI-related incidents</x:v>
      </x:c>
      <x:c r="E10" s="109" t="str">
        <x:v>AI incident playbook covers privacy, security, safety, model and vendor escalation.</x:v>
      </x:c>
      <x:c r="F10" s="109" t="str">
        <x:v>Security / Privacy</x:v>
      </x:c>
      <x:c r="G10" s="109" t="str">
        <x:v>AI incident playbook; tabletop</x:v>
      </x:c>
      <x:c r="H10" s="109" t="str">
        <x:v>Effective</x:v>
      </x:c>
      <x:c r="I10" s="109" t="str">
        <x:v>Effective</x:v>
      </x:c>
      <x:c r="J10" s="76" t="str"/>
    </x:row>
    <x:row r="11">
      <x:c r="A11" s="75" t="str">
        <x:v>AI-GOV-07</x:v>
      </x:c>
      <x:c r="B11" s="109" t="str">
        <x:v>MANAGE</x:v>
      </x:c>
      <x:c r="C11" s="109" t="str">
        <x:v>Third Party</x:v>
      </x:c>
      <x:c r="D11" s="109" t="str">
        <x:v>Govern external AI services</x:v>
      </x:c>
      <x:c r="E11" s="109" t="str">
        <x:v>AI providers undergo privacy, security and contract review before use.</x:v>
      </x:c>
      <x:c r="F11" s="109" t="str">
        <x:v>TPRM</x:v>
      </x:c>
      <x:c r="G11" s="109" t="str">
        <x:v>Vendor assessment; contract review</x:v>
      </x:c>
      <x:c r="H11" s="109" t="str">
        <x:v>Effective</x:v>
      </x:c>
      <x:c r="I11" s="109" t="str">
        <x:v>Needs Improvement</x:v>
      </x:c>
      <x:c r="J11" s="76" t="str">
        <x:v>AI-F-004</x:v>
      </x:c>
    </x:row>
    <x:row r="12">
      <x:c r="A12" s="77" t="str">
        <x:v>AI-GOV-08</x:v>
      </x:c>
      <x:c r="B12" s="110" t="str">
        <x:v>GOVERN</x:v>
      </x:c>
      <x:c r="C12" s="110" t="str">
        <x:v>Policy</x:v>
      </x:c>
      <x:c r="D12" s="110" t="str">
        <x:v>Maintain acceptable-use and AI policy</x:v>
      </x:c>
      <x:c r="E12" s="110" t="str">
        <x:v>AI policy defines approved use, prohibited data handling, review and exception paths.</x:v>
      </x:c>
      <x:c r="F12" s="110" t="str">
        <x:v>AI Governance</x:v>
      </x:c>
      <x:c r="G12" s="110" t="str">
        <x:v>AI policy; training record</x:v>
      </x:c>
      <x:c r="H12" s="110" t="str">
        <x:v>Needs Improvement</x:v>
      </x:c>
      <x:c r="I12" s="110" t="str">
        <x:v>Open</x:v>
      </x:c>
      <x:c r="J12" s="78" t="str">
        <x:v>AI-F-005</x:v>
      </x:c>
    </x:row>
    <x:row r="13">
      <x:c r="A13" t="str">
        <x:v>AI-GOV-09</x:v>
      </x:c>
      <x:c r="B13" t="str">
        <x:v>MEASURE</x:v>
      </x:c>
      <x:c r="C13" t="str">
        <x:v>Monitoring</x:v>
      </x:c>
      <x:c r="D13" t="str">
        <x:v>Monitor drift and post-deployment performance</x:v>
      </x:c>
      <x:c r="E13" t="str">
        <x:v>Higher-risk systems have monitoring thresholds and periodic reassessment triggers.</x:v>
      </x:c>
      <x:c r="F13" t="str">
        <x:v>Model Owner</x:v>
      </x:c>
      <x:c r="G13" t="str">
        <x:v>Monitoring dashboard; reassessment record</x:v>
      </x:c>
      <x:c r="H13" t="str">
        <x:v>Effective</x:v>
      </x:c>
      <x:c r="I13" t="str">
        <x:v>Effective</x:v>
      </x:c>
      <x:c r="J13" t="str"/>
    </x:row>
  </x:sheetData>
  <x:mergeCells>
    <x:mergeCell ref="A2:J2"/>
  </x:mergeCells>
  <x:dataValidations count="1">
    <x:dataValidation type="list" sqref="H5:I12">
      <x:formula1>"Effective,Needs Improvement,Open,Not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b94dceb0664b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22" hidden="0" customWidth="1"/>
    <x:col min="5" max="5" width="18" hidden="0" customWidth="1"/>
    <x:col min="6" max="6" width="12" hidden="0" customWidth="1"/>
    <x:col min="7" max="7" width="24" hidden="0" customWidth="1"/>
    <x:col min="8" max="8" width="18" hidden="0" customWidth="1"/>
    <x:col min="9" max="9" width="28" hidden="0" customWidth="1"/>
    <x:col min="10" max="10" width="44" hidden="0" customWidth="1"/>
    <x:col min="11" max="11" width="14" hidden="0" customWidth="1"/>
    <x:col min="12" max="12" width="15" hidden="0" customWidth="1"/>
  </x:cols>
  <x:sheetData>
    <x:row r="1">
      <x:c r="A1" s="4" t="str">
        <x:v>AI Use Case Risk Assessment</x:v>
      </x:c>
    </x:row>
    <x:row r="2">
      <x:c r="A2" t="str">
        <x:v>Assessment of intended use, affected stakeholders, AI Act screening, trustworthiness considerations and safeguards.</x:v>
      </x:c>
    </x:row>
    <x:row r="4">
      <x:c r="A4" s="54" t="str">
        <x:v>AI ID</x:v>
      </x:c>
      <x:c r="B4" s="97" t="str">
        <x:v>Use Case</x:v>
      </x:c>
      <x:c r="C4" s="97" t="str">
        <x:v>Impact on Individuals</x:v>
      </x:c>
      <x:c r="D4" s="97" t="str">
        <x:v>Decision Influence</x:v>
      </x:c>
      <x:c r="E4" s="97" t="str">
        <x:v>Data Sensitivity</x:v>
      </x:c>
      <x:c r="F4" s="97" t="str">
        <x:v>Scale</x:v>
      </x:c>
      <x:c r="G4" s="97" t="str">
        <x:v>Human Oversight</x:v>
      </x:c>
      <x:c r="H4" s="97" t="str">
        <x:v>Transparency Need</x:v>
      </x:c>
      <x:c r="I4" s="97" t="str">
        <x:v>EU AI Act Screening</x:v>
      </x:c>
      <x:c r="J4" s="97" t="str">
        <x:v>Key Safeguard</x:v>
      </x:c>
      <x:c r="K4" s="97" t="str">
        <x:v>Residual Risk</x:v>
      </x:c>
      <x:c r="L4" s="55" t="str">
        <x:v>Assessment Status</x:v>
      </x:c>
    </x:row>
    <x:row r="5">
      <x:c r="A5" s="73" t="str">
        <x:v>AI-001</x:v>
      </x:c>
      <x:c r="B5" s="108" t="str">
        <x:v>Support Copilot</x:v>
      </x:c>
      <x:c r="C5" s="108" t="str">
        <x:v>Medium</x:v>
      </x:c>
      <x:c r="D5" s="108" t="str">
        <x:v>Advisory</x:v>
      </x:c>
      <x:c r="E5" s="108" t="str">
        <x:v>Confidential</x:v>
      </x:c>
      <x:c r="F5" s="108" t="str">
        <x:v>High</x:v>
      </x:c>
      <x:c r="G5" s="108" t="str">
        <x:v>Required before send</x:v>
      </x:c>
      <x:c r="H5" s="108" t="str">
        <x:v>High</x:v>
      </x:c>
      <x:c r="I5" s="108" t="str">
        <x:v>Transparency assessment</x:v>
      </x:c>
      <x:c r="J5" s="108" t="str">
        <x:v>No autonomous customer decisions; disclose AI assistance where applicable</x:v>
      </x:c>
      <x:c r="K5" s="108" t="str">
        <x:v>Medium</x:v>
      </x:c>
      <x:c r="L5" s="74" t="str">
        <x:v>Open</x:v>
      </x:c>
    </x:row>
    <x:row r="6">
      <x:c r="A6" s="75" t="str">
        <x:v>AI-002</x:v>
      </x:c>
      <x:c r="B6" s="109" t="str">
        <x:v>Threat Detection Assistant</x:v>
      </x:c>
      <x:c r="C6" s="109" t="str">
        <x:v>Medium</x:v>
      </x:c>
      <x:c r="D6" s="109" t="str">
        <x:v>Advisory</x:v>
      </x:c>
      <x:c r="E6" s="109" t="str">
        <x:v>Restricted</x:v>
      </x:c>
      <x:c r="F6" s="109" t="str">
        <x:v>Medium</x:v>
      </x:c>
      <x:c r="G6" s="109" t="str">
        <x:v>Analyst review required</x:v>
      </x:c>
      <x:c r="H6" s="109" t="str">
        <x:v>Medium</x:v>
      </x:c>
      <x:c r="I6" s="109" t="str">
        <x:v>Provider/GPAI assessment</x:v>
      </x:c>
      <x:c r="J6" s="109" t="str">
        <x:v>No automated containment based solely on generated output</x:v>
      </x:c>
      <x:c r="K6" s="109" t="str">
        <x:v>Medium</x:v>
      </x:c>
      <x:c r="L6" s="76" t="str">
        <x:v>Open</x:v>
      </x:c>
    </x:row>
    <x:row r="7">
      <x:c r="A7" s="75" t="str">
        <x:v>AI-003</x:v>
      </x:c>
      <x:c r="B7" s="109" t="str">
        <x:v>Candidate Screening Assistant</x:v>
      </x:c>
      <x:c r="C7" s="109" t="str">
        <x:v>High</x:v>
      </x:c>
      <x:c r="D7" s="109" t="str">
        <x:v>Influences recruitment</x:v>
      </x:c>
      <x:c r="E7" s="109" t="str">
        <x:v>Restricted</x:v>
      </x:c>
      <x:c r="F7" s="109" t="str">
        <x:v>Medium</x:v>
      </x:c>
      <x:c r="G7" s="109" t="str">
        <x:v>Recruiter decision required</x:v>
      </x:c>
      <x:c r="H7" s="109" t="str">
        <x:v>High</x:v>
      </x:c>
      <x:c r="I7" s="109" t="str">
        <x:v>Potential high-risk use case</x:v>
      </x:c>
      <x:c r="J7" s="109" t="str">
        <x:v>Document criteria, validation, human oversight and impact monitoring</x:v>
      </x:c>
      <x:c r="K7" s="109" t="str">
        <x:v>High</x:v>
      </x:c>
      <x:c r="L7" s="76" t="str">
        <x:v>Open</x:v>
      </x:c>
    </x:row>
    <x:row r="8">
      <x:c r="A8" s="75" t="str">
        <x:v>AI-004</x:v>
      </x:c>
      <x:c r="B8" s="109" t="str">
        <x:v>Demand Forecasting Model</x:v>
      </x:c>
      <x:c r="C8" s="109" t="str">
        <x:v>Low</x:v>
      </x:c>
      <x:c r="D8" s="109" t="str">
        <x:v>Planning support</x:v>
      </x:c>
      <x:c r="E8" s="109" t="str">
        <x:v>Internal</x:v>
      </x:c>
      <x:c r="F8" s="109" t="str">
        <x:v>Medium</x:v>
      </x:c>
      <x:c r="G8" s="109" t="str">
        <x:v>Planner review</x:v>
      </x:c>
      <x:c r="H8" s="109" t="str">
        <x:v>Low</x:v>
      </x:c>
      <x:c r="I8" s="109" t="str">
        <x:v>Applicability check</x:v>
      </x:c>
      <x:c r="J8" s="109" t="str">
        <x:v>Drift monitoring and human planning approval</x:v>
      </x:c>
      <x:c r="K8" s="109" t="str">
        <x:v>Low</x:v>
      </x:c>
      <x:c r="L8" s="76" t="str">
        <x:v>Open</x:v>
      </x:c>
    </x:row>
    <x:row r="9">
      <x:c r="A9" s="77" t="str">
        <x:v>AI-005</x:v>
      </x:c>
      <x:c r="B9" s="110" t="str">
        <x:v>Marketing Content Assistant</x:v>
      </x:c>
      <x:c r="C9" s="110" t="str">
        <x:v>Low</x:v>
      </x:c>
      <x:c r="D9" s="110" t="str">
        <x:v>Content creation</x:v>
      </x:c>
      <x:c r="E9" s="110" t="str">
        <x:v>Internal</x:v>
      </x:c>
      <x:c r="F9" s="110" t="str">
        <x:v>High</x:v>
      </x:c>
      <x:c r="G9" s="110" t="str">
        <x:v>Human review before publication</x:v>
      </x:c>
      <x:c r="H9" s="110" t="str">
        <x:v>Medium</x:v>
      </x:c>
      <x:c r="I9" s="110" t="str">
        <x:v>Transparency/content provenance assessment</x:v>
      </x:c>
      <x:c r="J9" s="110" t="str">
        <x:v>Fact-checking and approval workflow</x:v>
      </x:c>
      <x:c r="K9" s="110" t="str">
        <x:v>Low</x:v>
      </x:c>
      <x:c r="L9" s="78" t="str">
        <x:v>In Progress</x:v>
      </x:c>
    </x:row>
  </x:sheetData>
  <x:mergeCells>
    <x:mergeCell ref="A2:L2"/>
  </x:mergeCells>
  <x:dataValidations count="1">
    <x:dataValidation type="list" sqref="L5:L9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afa5dc168640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20" hidden="0" customWidth="1"/>
    <x:col min="5" max="5" width="20" hidden="0" customWidth="1"/>
    <x:col min="6" max="6" width="13" hidden="0" customWidth="1"/>
    <x:col min="7" max="7" width="14" hidden="0" customWidth="1"/>
    <x:col min="8" max="8" width="42" hidden="0" customWidth="1"/>
  </x:cols>
  <x:sheetData>
    <x:row r="1">
      <x:c r="A1" s="4" t="str">
        <x:v>AI Governance Evidence Index</x:v>
      </x:c>
    </x:row>
    <x:row r="2">
      <x:c r="A2" t="str">
        <x:v>Fictional evidence artifacts created for portfolio demonstration.</x:v>
      </x:c>
    </x:row>
    <x:row r="4">
      <x:c r="A4" s="54" t="str">
        <x:v>Evidence ID</x:v>
      </x:c>
      <x:c r="B4" s="97" t="str">
        <x:v>Control ID</x:v>
      </x:c>
      <x:c r="C4" s="97" t="str">
        <x:v>Artifact</x:v>
      </x:c>
      <x:c r="D4" s="97" t="str">
        <x:v>Evidence Type</x:v>
      </x:c>
      <x:c r="E4" s="97" t="str">
        <x:v>Owner</x:v>
      </x:c>
      <x:c r="F4" s="97" t="str">
        <x:v>Period</x:v>
      </x:c>
      <x:c r="G4" s="97" t="str">
        <x:v>Status</x:v>
      </x:c>
      <x:c r="H4" s="55" t="str">
        <x:v>Reviewer Note</x:v>
      </x:c>
    </x:row>
    <x:row r="5">
      <x:c r="A5" s="73" t="str">
        <x:v>EV-AI-001</x:v>
      </x:c>
      <x:c r="B5" s="108" t="str">
        <x:v>AI-GOV-01</x:v>
      </x:c>
      <x:c r="C5" s="108" t="str">
        <x:v>AI Inventory</x:v>
      </x:c>
      <x:c r="D5" s="108" t="str">
        <x:v>Register</x:v>
      </x:c>
      <x:c r="E5" s="108" t="str">
        <x:v>AI Governance</x:v>
      </x:c>
      <x:c r="F5" s="108" t="str">
        <x:v>Q3 2026</x:v>
      </x:c>
      <x:c r="G5" s="108" t="str">
        <x:v>Received</x:v>
      </x:c>
      <x:c r="H5" s="74" t="str">
        <x:v>Owner and use-case records complete</x:v>
      </x:c>
    </x:row>
    <x:row r="6">
      <x:c r="A6" s="75" t="str">
        <x:v>EV-AI-002</x:v>
      </x:c>
      <x:c r="B6" s="109" t="str">
        <x:v>AI-GOV-02</x:v>
      </x:c>
      <x:c r="C6" s="109" t="str">
        <x:v>AI Intake Form</x:v>
      </x:c>
      <x:c r="D6" s="109" t="str">
        <x:v>Workflow</x:v>
      </x:c>
      <x:c r="E6" s="109" t="str">
        <x:v>AI Governance</x:v>
      </x:c>
      <x:c r="F6" s="109" t="str">
        <x:v>Q3 2026</x:v>
      </x:c>
      <x:c r="G6" s="109" t="str">
        <x:v>Received</x:v>
      </x:c>
      <x:c r="H6" s="76" t="str">
        <x:v>Use-case intake demonstrated</x:v>
      </x:c>
    </x:row>
    <x:row r="7">
      <x:c r="A7" s="75" t="str">
        <x:v>EV-AI-003</x:v>
      </x:c>
      <x:c r="B7" s="109" t="str">
        <x:v>AI-GOV-03</x:v>
      </x:c>
      <x:c r="C7" s="109" t="str">
        <x:v>Candidate Screening DPIA</x:v>
      </x:c>
      <x:c r="D7" s="109" t="str">
        <x:v>Impact Assessment</x:v>
      </x:c>
      <x:c r="E7" s="109" t="str">
        <x:v>Privacy / HR</x:v>
      </x:c>
      <x:c r="F7" s="109" t="str">
        <x:v>Q3 2026</x:v>
      </x:c>
      <x:c r="G7" s="109" t="str">
        <x:v>Partial</x:v>
      </x:c>
      <x:c r="H7" s="76" t="str">
        <x:v>Assessment exists but validation evidence incomplete</x:v>
      </x:c>
    </x:row>
    <x:row r="8">
      <x:c r="A8" s="75" t="str">
        <x:v>EV-AI-004</x:v>
      </x:c>
      <x:c r="B8" s="109" t="str">
        <x:v>AI-GOV-04</x:v>
      </x:c>
      <x:c r="C8" s="109" t="str">
        <x:v>Model Evaluation Summary</x:v>
      </x:c>
      <x:c r="D8" s="109" t="str">
        <x:v>Validation</x:v>
      </x:c>
      <x:c r="E8" s="109" t="str">
        <x:v>Model Owner</x:v>
      </x:c>
      <x:c r="F8" s="109" t="str">
        <x:v>Q3 2026</x:v>
      </x:c>
      <x:c r="G8" s="109" t="str">
        <x:v>Missing</x:v>
      </x:c>
      <x:c r="H8" s="76" t="str">
        <x:v>Evaluation thresholds and test results need formalization</x:v>
      </x:c>
    </x:row>
    <x:row r="9">
      <x:c r="A9" s="75" t="str">
        <x:v>EV-AI-005</x:v>
      </x:c>
      <x:c r="B9" s="109" t="str">
        <x:v>AI-GOV-05</x:v>
      </x:c>
      <x:c r="C9" s="109" t="str">
        <x:v>Human Oversight Procedure</x:v>
      </x:c>
      <x:c r="D9" s="109" t="str">
        <x:v>Procedure</x:v>
      </x:c>
      <x:c r="E9" s="109" t="str">
        <x:v>HR / Support</x:v>
      </x:c>
      <x:c r="F9" s="109" t="str">
        <x:v>Q3 2026</x:v>
      </x:c>
      <x:c r="G9" s="109" t="str">
        <x:v>Partial</x:v>
      </x:c>
      <x:c r="H9" s="76" t="str">
        <x:v>Override and decision logging need stronger evidence</x:v>
      </x:c>
    </x:row>
    <x:row r="10">
      <x:c r="A10" s="75" t="str">
        <x:v>EV-AI-006</x:v>
      </x:c>
      <x:c r="B10" s="109" t="str">
        <x:v>AI-GOV-06</x:v>
      </x:c>
      <x:c r="C10" s="109" t="str">
        <x:v>AI Incident Playbook</x:v>
      </x:c>
      <x:c r="D10" s="109" t="str">
        <x:v>Incident Response</x:v>
      </x:c>
      <x:c r="E10" s="109" t="str">
        <x:v>Security</x:v>
      </x:c>
      <x:c r="F10" s="109" t="str">
        <x:v>Q3 2026</x:v>
      </x:c>
      <x:c r="G10" s="109" t="str">
        <x:v>Received</x:v>
      </x:c>
      <x:c r="H10" s="76" t="str">
        <x:v>Covers model, privacy and security scenarios</x:v>
      </x:c>
    </x:row>
    <x:row r="11">
      <x:c r="A11" s="75" t="str">
        <x:v>EV-AI-007</x:v>
      </x:c>
      <x:c r="B11" s="109" t="str">
        <x:v>AI-GOV-07</x:v>
      </x:c>
      <x:c r="C11" s="109" t="str">
        <x:v>AI Vendor Review</x:v>
      </x:c>
      <x:c r="D11" s="109" t="str">
        <x:v>TPRM</x:v>
      </x:c>
      <x:c r="E11" s="109" t="str">
        <x:v>TPRM</x:v>
      </x:c>
      <x:c r="F11" s="109" t="str">
        <x:v>Q3 2026</x:v>
      </x:c>
      <x:c r="G11" s="109" t="str">
        <x:v>Partial</x:v>
      </x:c>
      <x:c r="H11" s="76" t="str">
        <x:v>Contract review complete; change monitoring incomplete</x:v>
      </x:c>
    </x:row>
    <x:row r="12">
      <x:c r="A12" s="75" t="str">
        <x:v>EV-AI-008</x:v>
      </x:c>
      <x:c r="B12" s="109" t="str">
        <x:v>AI-GOV-08</x:v>
      </x:c>
      <x:c r="C12" s="109" t="str">
        <x:v>AI Acceptable Use Policy</x:v>
      </x:c>
      <x:c r="D12" s="109" t="str">
        <x:v>Policy</x:v>
      </x:c>
      <x:c r="E12" s="109" t="str">
        <x:v>AI Governance</x:v>
      </x:c>
      <x:c r="F12" s="109" t="str">
        <x:v>Q3 2026</x:v>
      </x:c>
      <x:c r="G12" s="109" t="str">
        <x:v>Missing</x:v>
      </x:c>
      <x:c r="H12" s="76" t="str">
        <x:v>Policy approval/training evidence pending</x:v>
      </x:c>
    </x:row>
    <x:row r="13">
      <x:c r="A13" s="75" t="str">
        <x:v>EV-AI-009</x:v>
      </x:c>
      <x:c r="B13" s="109" t="str">
        <x:v>AI-GOV-09</x:v>
      </x:c>
      <x:c r="C13" s="109" t="str">
        <x:v>Post-deployment Monitoring Plan</x:v>
      </x:c>
      <x:c r="D13" s="109" t="str">
        <x:v>Monitoring</x:v>
      </x:c>
      <x:c r="E13" s="109" t="str">
        <x:v>Model Owner</x:v>
      </x:c>
      <x:c r="F13" s="109" t="str">
        <x:v>Q3 2026</x:v>
      </x:c>
      <x:c r="G13" s="109" t="str">
        <x:v>Received</x:v>
      </x:c>
      <x:c r="H13" s="76" t="str">
        <x:v>Monitoring triggers defined</x:v>
      </x:c>
    </x:row>
    <x:row r="14">
      <x:c r="A14" s="77" t="str">
        <x:v>EV-AI-010</x:v>
      </x:c>
      <x:c r="B14" s="110" t="str">
        <x:v>AI-GOV-03</x:v>
      </x:c>
      <x:c r="C14" s="110" t="str">
        <x:v>Stakeholder Assessment</x:v>
      </x:c>
      <x:c r="D14" s="110" t="str">
        <x:v>Stakeholder Review</x:v>
      </x:c>
      <x:c r="E14" s="110" t="str">
        <x:v>Privacy / HR</x:v>
      </x:c>
      <x:c r="F14" s="110" t="str">
        <x:v>Q3 2026</x:v>
      </x:c>
      <x:c r="G14" s="110" t="str">
        <x:v>Partial</x:v>
      </x:c>
      <x:c r="H14" s="78" t="str">
        <x:v>Affected-stakeholder mapping incomplete</x:v>
      </x:c>
    </x:row>
  </x:sheetData>
  <x:mergeCells>
    <x:mergeCell ref="A2:H2"/>
  </x:mergeCells>
  <x:dataValidations count="1">
    <x:dataValidation type="list" sqref="G5:G14">
      <x:formula1>"Received,Partial,Missing"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d0857310fa419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22" hidden="0" customWidth="1"/>
    <x:col min="5" max="5" width="48" hidden="0" customWidth="1"/>
    <x:col min="6" max="6" width="12" hidden="0" customWidth="1"/>
    <x:col min="7" max="7" width="34" hidden="0" customWidth="1"/>
    <x:col min="8" max="8" width="48" hidden="0" customWidth="1"/>
    <x:col min="9" max="9" width="14" hidden="0" customWidth="1"/>
    <x:col min="10" max="10" width="20" hidden="0" customWidth="1"/>
  </x:cols>
  <x:sheetData>
    <x:row r="1">
      <x:c r="A1" s="4" t="str">
        <x:v>AI Governance Findings Log</x:v>
      </x:c>
    </x:row>
    <x:row r="2">
      <x:c r="A2" t="str">
        <x:v>Findings are tied directly to AI governance control gaps and evidence quality.</x:v>
      </x:c>
    </x:row>
    <x:row r="4">
      <x:c r="A4" s="54" t="str">
        <x:v>Finding ID</x:v>
      </x:c>
      <x:c r="B4" s="97" t="str">
        <x:v>Control ID</x:v>
      </x:c>
      <x:c r="C4" s="97" t="str">
        <x:v>AI ID</x:v>
      </x:c>
      <x:c r="D4" s="97" t="str">
        <x:v>Domain</x:v>
      </x:c>
      <x:c r="E4" s="97" t="str">
        <x:v>Finding</x:v>
      </x:c>
      <x:c r="F4" s="97" t="str">
        <x:v>Severity</x:v>
      </x:c>
      <x:c r="G4" s="97" t="str">
        <x:v>Root Cause</x:v>
      </x:c>
      <x:c r="H4" s="97" t="str">
        <x:v>Recommendation</x:v>
      </x:c>
      <x:c r="I4" s="97" t="str">
        <x:v>Status</x:v>
      </x:c>
      <x:c r="J4" s="55" t="str">
        <x:v>Owner</x:v>
      </x:c>
    </x:row>
    <x:row r="5">
      <x:c r="A5" s="73" t="str">
        <x:v>AI-F-001</x:v>
      </x:c>
      <x:c r="B5" s="108" t="str">
        <x:v>AI-GOV-03</x:v>
      </x:c>
      <x:c r="C5" s="108" t="str">
        <x:v>AI-003</x:v>
      </x:c>
      <x:c r="D5" s="108" t="str">
        <x:v>Impact Assessment</x:v>
      </x:c>
      <x:c r="E5" s="108" t="str">
        <x:v>Candidate-screening impact assessment does not yet include complete validation and stakeholder review.</x:v>
      </x:c>
      <x:c r="F5" s="108" t="str">
        <x:v>High</x:v>
      </x:c>
      <x:c r="G5" s="108" t="str">
        <x:v>DPIA workflow is not linked to model-validation workflow.</x:v>
      </x:c>
      <x:c r="H5" s="108" t="str">
        <x:v>Complete impact assessment with validation evidence and affected-stakeholder review before production use.</x:v>
      </x:c>
      <x:c r="I5" s="108" t="str">
        <x:v>Open</x:v>
      </x:c>
      <x:c r="J5" s="74" t="str">
        <x:v>Privacy / HR</x:v>
      </x:c>
    </x:row>
    <x:row r="6">
      <x:c r="A6" s="75" t="str">
        <x:v>AI-F-002</x:v>
      </x:c>
      <x:c r="B6" s="109" t="str">
        <x:v>AI-GOV-04</x:v>
      </x:c>
      <x:c r="C6" s="109" t="str">
        <x:v>AI-003</x:v>
      </x:c>
      <x:c r="D6" s="109" t="str">
        <x:v>Model Validation</x:v>
      </x:c>
      <x:c r="E6" s="109" t="str">
        <x:v>Evaluation metrics and acceptance thresholds are not formally approved for the candidate-ranking model.</x:v>
      </x:c>
      <x:c r="F6" s="109" t="str">
        <x:v>High</x:v>
      </x:c>
      <x:c r="G6" s="109" t="str">
        <x:v>Model governance lacks a standard pre-release evaluation gate.</x:v>
      </x:c>
      <x:c r="H6" s="109" t="str">
        <x:v>Define performance, error, fairness and acceptance metrics and obtain model-owner sign-off.</x:v>
      </x:c>
      <x:c r="I6" s="109" t="str">
        <x:v>Open</x:v>
      </x:c>
      <x:c r="J6" s="76" t="str">
        <x:v>HR Systems</x:v>
      </x:c>
    </x:row>
    <x:row r="7">
      <x:c r="A7" s="75" t="str">
        <x:v>AI-F-003</x:v>
      </x:c>
      <x:c r="B7" s="109" t="str">
        <x:v>AI-GOV-05</x:v>
      </x:c>
      <x:c r="C7" s="109" t="str">
        <x:v>AI-001</x:v>
      </x:c>
      <x:c r="D7" s="109" t="str">
        <x:v>Human Oversight</x:v>
      </x:c>
      <x:c r="E7" s="109" t="str">
        <x:v>Override and reviewer decision evidence is not consistently retained for AI-assisted support responses.</x:v>
      </x:c>
      <x:c r="F7" s="109" t="str">
        <x:v>Medium</x:v>
      </x:c>
      <x:c r="G7" s="109" t="str">
        <x:v>Human-review logging requirements are not embedded in the workflow.</x:v>
      </x:c>
      <x:c r="H7" s="109" t="str">
        <x:v>Retain sampled reviewer decisions and define escalation rules for uncertain outputs.</x:v>
      </x:c>
      <x:c r="I7" s="109" t="str">
        <x:v>Open</x:v>
      </x:c>
      <x:c r="J7" s="76" t="str">
        <x:v>Support Operations</x:v>
      </x:c>
    </x:row>
    <x:row r="8">
      <x:c r="A8" s="75" t="str">
        <x:v>AI-F-004</x:v>
      </x:c>
      <x:c r="B8" s="109" t="str">
        <x:v>AI-GOV-07</x:v>
      </x:c>
      <x:c r="C8" s="109" t="str">
        <x:v>AI-002</x:v>
      </x:c>
      <x:c r="D8" s="109" t="str">
        <x:v>Third Party</x:v>
      </x:c>
      <x:c r="E8" s="109" t="str">
        <x:v>AI provider change-notification monitoring is not documented as an ongoing control.</x:v>
      </x:c>
      <x:c r="F8" s="109" t="str">
        <x:v>Medium</x:v>
      </x:c>
      <x:c r="G8" s="109" t="str">
        <x:v>TPRM is point-in-time and not linked to provider-change monitoring.</x:v>
      </x:c>
      <x:c r="H8" s="109" t="str">
        <x:v>Add recurring review of provider model/version changes and material subprocessors.</x:v>
      </x:c>
      <x:c r="I8" s="109" t="str">
        <x:v>Open</x:v>
      </x:c>
      <x:c r="J8" s="76" t="str">
        <x:v>TPRM</x:v>
      </x:c>
    </x:row>
    <x:row r="9">
      <x:c r="A9" s="75" t="str">
        <x:v>AI-F-005</x:v>
      </x:c>
      <x:c r="B9" s="109" t="str">
        <x:v>AI-GOV-08</x:v>
      </x:c>
      <x:c r="C9" s="109" t="str">
        <x:v>ALL</x:v>
      </x:c>
      <x:c r="D9" s="109" t="str">
        <x:v>Policy</x:v>
      </x:c>
      <x:c r="E9" s="109" t="str">
        <x:v>AI acceptable-use policy approval and employee training evidence is incomplete.</x:v>
      </x:c>
      <x:c r="F9" s="109" t="str">
        <x:v>Low</x:v>
      </x:c>
      <x:c r="G9" s="109" t="str">
        <x:v>Policy rollout is not yet tracked as a governed lifecycle.</x:v>
      </x:c>
      <x:c r="H9" s="109" t="str">
        <x:v>Approve AI policy, track acknowledgement/training and review exceptions.</x:v>
      </x:c>
      <x:c r="I9" s="109" t="str">
        <x:v>In Progress</x:v>
      </x:c>
      <x:c r="J9" s="76" t="str">
        <x:v>AI Governance</x:v>
      </x:c>
    </x:row>
    <x:row r="10">
      <x:c r="A10" s="77" t="str">
        <x:v>AI-F-006</x:v>
      </x:c>
      <x:c r="B10" s="110" t="str">
        <x:v>AI-GOV-09</x:v>
      </x:c>
      <x:c r="C10" s="110" t="str">
        <x:v>AI-004</x:v>
      </x:c>
      <x:c r="D10" s="110" t="str">
        <x:v>Monitoring</x:v>
      </x:c>
      <x:c r="E10" s="110" t="str">
        <x:v>Forecasting model reassessment trigger is defined but no completed test is retained.</x:v>
      </x:c>
      <x:c r="F10" s="110" t="str">
        <x:v>Low</x:v>
      </x:c>
      <x:c r="G10" s="110" t="str">
        <x:v>Monitoring control exists but validation evidence is new.</x:v>
      </x:c>
      <x:c r="H10" s="110" t="str">
        <x:v>Run a simulated drift-threshold test and retain evidence.</x:v>
      </x:c>
      <x:c r="I10" s="110" t="str">
        <x:v>Open</x:v>
      </x:c>
      <x:c r="J10" s="78" t="str">
        <x:v>Operations Analytics</x:v>
      </x:c>
    </x:row>
  </x:sheetData>
  <x:mergeCells>
    <x:mergeCell ref="A2:J2"/>
  </x:mergeCells>
  <x:dataValidations count="2">
    <x:dataValidation type="list" sqref="F5:F10">
      <x:formula1>"Critical,High,Medium,Low"</x:formula1>
    </x:dataValidation>
    <x:dataValidation type="list" sqref="I5:I10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e766727a924c4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48" hidden="0" customWidth="1"/>
    <x:col min="4" max="4" width="20" hidden="0" customWidth="1"/>
    <x:col min="5" max="5" width="12" hidden="0" customWidth="1"/>
    <x:col min="6" max="6" width="14" hidden="0" customWidth="1"/>
    <x:col min="7" max="7" width="42" hidden="0" customWidth="1"/>
    <x:col min="8" max="8" width="14" hidden="0" customWidth="1"/>
    <x:col min="9" max="9" width="26" hidden="0" customWidth="1"/>
  </x:cols>
  <x:sheetData>
    <x:row r="1">
      <x:c r="A1" s="4" t="str">
        <x:v>AI Governance Remediation Tracker</x:v>
      </x:c>
    </x:row>
    <x:row r="2">
      <x:c r="A2" t="str">
        <x:v>Track actions to validated closure.</x:v>
      </x:c>
    </x:row>
    <x:row r="4">
      <x:c r="A4" s="54" t="str">
        <x:v>Action ID</x:v>
      </x:c>
      <x:c r="B4" s="97" t="str">
        <x:v>Finding ID</x:v>
      </x:c>
      <x:c r="C4" s="97" t="str">
        <x:v>Action</x:v>
      </x:c>
      <x:c r="D4" s="97" t="str">
        <x:v>Owner</x:v>
      </x:c>
      <x:c r="E4" s="97" t="str">
        <x:v>Priority</x:v>
      </x:c>
      <x:c r="F4" s="97" t="str">
        <x:v>Target Date</x:v>
      </x:c>
      <x:c r="G4" s="97" t="str">
        <x:v>Success Measure</x:v>
      </x:c>
      <x:c r="H4" s="97" t="str">
        <x:v>Status</x:v>
      </x:c>
      <x:c r="I4" s="55" t="str">
        <x:v>Validation</x:v>
      </x:c>
    </x:row>
    <x:row r="5">
      <x:c r="A5" s="73" t="str">
        <x:v>RA-AI-001</x:v>
      </x:c>
      <x:c r="B5" s="108" t="str">
        <x:v>AI-F-001</x:v>
      </x:c>
      <x:c r="C5" s="108" t="str">
        <x:v>Complete candidate-screening impact assessment and stakeholder review.</x:v>
      </x:c>
      <x:c r="D5" s="108" t="str">
        <x:v>Privacy / HR</x:v>
      </x:c>
      <x:c r="E5" s="108" t="str">
        <x:v>High</x:v>
      </x:c>
      <x:c r="F5" s="119" t="n">
        <x:v>46320</x:v>
      </x:c>
      <x:c r="G5" s="108" t="str">
        <x:v>Approved assessment contains validation, stakeholders and safeguards.</x:v>
      </x:c>
      <x:c r="H5" s="108" t="str">
        <x:v>Open</x:v>
      </x:c>
      <x:c r="I5" s="74" t="str">
        <x:v>Follow-up review</x:v>
      </x:c>
    </x:row>
    <x:row r="6">
      <x:c r="A6" s="75" t="str">
        <x:v>RA-AI-002</x:v>
      </x:c>
      <x:c r="B6" s="109" t="str">
        <x:v>AI-F-002</x:v>
      </x:c>
      <x:c r="C6" s="109" t="str">
        <x:v>Define and approve model evaluation thresholds and fairness/error metrics.</x:v>
      </x:c>
      <x:c r="D6" s="109" t="str">
        <x:v>HR Systems</x:v>
      </x:c>
      <x:c r="E6" s="109" t="str">
        <x:v>High</x:v>
      </x:c>
      <x:c r="F6" s="120" t="n">
        <x:v>46315</x:v>
      </x:c>
      <x:c r="G6" s="109" t="str">
        <x:v>Pre-release evaluation pack approved by model owner.</x:v>
      </x:c>
      <x:c r="H6" s="109" t="str">
        <x:v>Open</x:v>
      </x:c>
      <x:c r="I6" s="76" t="str">
        <x:v>Evaluation evidence</x:v>
      </x:c>
    </x:row>
    <x:row r="7">
      <x:c r="A7" s="75" t="str">
        <x:v>RA-AI-003</x:v>
      </x:c>
      <x:c r="B7" s="109" t="str">
        <x:v>AI-F-003</x:v>
      </x:c>
      <x:c r="C7" s="109" t="str">
        <x:v>Implement retention of human-review decisions for sampled AI-assisted support outputs.</x:v>
      </x:c>
      <x:c r="D7" s="109" t="str">
        <x:v>Support Operations</x:v>
      </x:c>
      <x:c r="E7" s="109" t="str">
        <x:v>Medium</x:v>
      </x:c>
      <x:c r="F7" s="120" t="n">
        <x:v>46310</x:v>
      </x:c>
      <x:c r="G7" s="109" t="str">
        <x:v>Reviewer decisions and escalations can be sampled and traced.</x:v>
      </x:c>
      <x:c r="H7" s="109" t="str">
        <x:v>Open</x:v>
      </x:c>
      <x:c r="I7" s="76" t="str">
        <x:v>Workflow sample</x:v>
      </x:c>
    </x:row>
    <x:row r="8">
      <x:c r="A8" s="75" t="str">
        <x:v>RA-AI-004</x:v>
      </x:c>
      <x:c r="B8" s="109" t="str">
        <x:v>AI-F-004</x:v>
      </x:c>
      <x:c r="C8" s="109" t="str">
        <x:v>Add AI-provider model/version and subprocessor change monitoring to TPRM.</x:v>
      </x:c>
      <x:c r="D8" s="109" t="str">
        <x:v>TPRM</x:v>
      </x:c>
      <x:c r="E8" s="109" t="str">
        <x:v>Medium</x:v>
      </x:c>
      <x:c r="F8" s="120" t="n">
        <x:v>46331</x:v>
      </x:c>
      <x:c r="G8" s="109" t="str">
        <x:v>Material provider changes trigger documented reassessment.</x:v>
      </x:c>
      <x:c r="H8" s="109" t="str">
        <x:v>Open</x:v>
      </x:c>
      <x:c r="I8" s="76" t="str">
        <x:v>TPRM monitoring evidence</x:v>
      </x:c>
    </x:row>
    <x:row r="9">
      <x:c r="A9" s="75" t="str">
        <x:v>RA-AI-005</x:v>
      </x:c>
      <x:c r="B9" s="109" t="str">
        <x:v>AI-F-005</x:v>
      </x:c>
      <x:c r="C9" s="109" t="str">
        <x:v>Approve AI acceptable-use policy and complete employee acknowledgement/training.</x:v>
      </x:c>
      <x:c r="D9" s="109" t="str">
        <x:v>AI Governance</x:v>
      </x:c>
      <x:c r="E9" s="109" t="str">
        <x:v>Low</x:v>
      </x:c>
      <x:c r="F9" s="120" t="n">
        <x:v>46305</x:v>
      </x:c>
      <x:c r="G9" s="109" t="str">
        <x:v>Policy approved and in-scope users tracked.</x:v>
      </x:c>
      <x:c r="H9" s="109" t="str">
        <x:v>In Progress</x:v>
      </x:c>
      <x:c r="I9" s="76" t="str">
        <x:v>Training report</x:v>
      </x:c>
    </x:row>
    <x:row r="10">
      <x:c r="A10" s="77" t="str">
        <x:v>RA-AI-006</x:v>
      </x:c>
      <x:c r="B10" s="110" t="str">
        <x:v>AI-F-006</x:v>
      </x:c>
      <x:c r="C10" s="110" t="str">
        <x:v>Execute a drift-threshold test for the forecasting model.</x:v>
      </x:c>
      <x:c r="D10" s="110" t="str">
        <x:v>Operations Analytics</x:v>
      </x:c>
      <x:c r="E10" s="110" t="str">
        <x:v>Low</x:v>
      </x:c>
      <x:c r="F10" s="121" t="n">
        <x:v>46325</x:v>
      </x:c>
      <x:c r="G10" s="110" t="str">
        <x:v>Trigger produces documented reassessment event.</x:v>
      </x:c>
      <x:c r="H10" s="110" t="str">
        <x:v>Open</x:v>
      </x:c>
      <x:c r="I10" s="78" t="str">
        <x:v>Monitoring test</x:v>
      </x:c>
    </x:row>
  </x:sheetData>
  <x:mergeCells>
    <x:mergeCell ref="A2:I2"/>
  </x:mergeCells>
  <x:dataValidations count="2">
    <x:dataValidation type="list" sqref="E5:E10">
      <x:formula1>"Critical,High,Medium,Low"</x:formula1>
    </x:dataValidation>
    <x:dataValidation type="list" sqref="H5:H10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fee4a8131140c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4" t="str">
        <x:v>Sample Model Card — Candidate Screening Assistant</x:v>
      </x:c>
    </x:row>
    <x:row r="2">
      <x:c r="A2" t="str">
        <x:v>Fictional model documentation for governance demonstration.</x:v>
      </x:c>
    </x:row>
    <x:row r="4">
      <x:c r="A4" s="54" t="str">
        <x:v>Field</x:v>
      </x:c>
      <x:c r="B4" s="55" t="str">
        <x:v>Documentation</x:v>
      </x:c>
    </x:row>
    <x:row r="5">
      <x:c r="A5" s="73" t="str">
        <x:v>System</x:v>
      </x:c>
      <x:c r="B5" s="74" t="str">
        <x:v>AI-003 Candidate Screening Assistant</x:v>
      </x:c>
    </x:row>
    <x:row r="6">
      <x:c r="A6" s="75" t="str">
        <x:v>Business Purpose</x:v>
      </x:c>
      <x:c r="B6" s="76" t="str">
        <x:v>Support recruiters by organizing and prioritizing applicant profiles for human review.</x:v>
      </x:c>
    </x:row>
    <x:row r="7">
      <x:c r="A7" s="75" t="str">
        <x:v>Model Type</x:v>
      </x:c>
      <x:c r="B7" s="76" t="str">
        <x:v>ML classification / ranking</x:v>
      </x:c>
    </x:row>
    <x:row r="8">
      <x:c r="A8" s="75" t="str">
        <x:v>Intended Users</x:v>
      </x:c>
      <x:c r="B8" s="76" t="str">
        <x:v>Recruiters and HR administrators</x:v>
      </x:c>
    </x:row>
    <x:row r="9">
      <x:c r="A9" s="75" t="str">
        <x:v>Primary Inputs</x:v>
      </x:c>
      <x:c r="B9" s="76" t="str">
        <x:v>CV text, role requirements and structured applicant fields</x:v>
      </x:c>
    </x:row>
    <x:row r="10">
      <x:c r="A10" s="75" t="str">
        <x:v>Output</x:v>
      </x:c>
      <x:c r="B10" s="76" t="str">
        <x:v>Candidate relevance score / ranking for recruiter review</x:v>
      </x:c>
    </x:row>
    <x:row r="11">
      <x:c r="A11" s="75" t="str">
        <x:v>Human Oversight</x:v>
      </x:c>
      <x:c r="B11" s="76" t="str">
        <x:v>Recruiter must make the hiring decision; AI output is advisory.</x:v>
      </x:c>
    </x:row>
    <x:row r="12">
      <x:c r="A12" s="75" t="str">
        <x:v>Known Risks</x:v>
      </x:c>
      <x:c r="B12" s="76" t="str">
        <x:v>Bias, proxy discrimination, over-reliance, data quality, privacy and explainability.</x:v>
      </x:c>
    </x:row>
    <x:row r="13">
      <x:c r="A13" s="75" t="str">
        <x:v>Validation</x:v>
      </x:c>
      <x:c r="B13" s="76" t="str">
        <x:v>Pre-release evaluation required; simulated evidence is incomplete.</x:v>
      </x:c>
    </x:row>
    <x:row r="14">
      <x:c r="A14" s="75" t="str">
        <x:v>Monitoring</x:v>
      </x:c>
      <x:c r="B14" s="76" t="str">
        <x:v>Track model drift, error rates, adverse-impact indicators and user overrides.</x:v>
      </x:c>
    </x:row>
    <x:row r="15">
      <x:c r="A15" s="75" t="str">
        <x:v>Data Controls</x:v>
      </x:c>
      <x:c r="B15" s="76" t="str">
        <x:v>Minimisation, role-based access, approved retention and processor review.</x:v>
      </x:c>
    </x:row>
    <x:row r="16">
      <x:c r="A16" s="75" t="str">
        <x:v>Security Controls</x:v>
      </x:c>
      <x:c r="B16" s="76" t="str">
        <x:v>MFA, least privilege, logging, protected model endpoint and secrets management.</x:v>
      </x:c>
    </x:row>
    <x:row r="17">
      <x:c r="A17" s="75" t="str">
        <x:v>Change Management</x:v>
      </x:c>
      <x:c r="B17" s="76" t="str">
        <x:v>Model/version changes require documented review and regression testing.</x:v>
      </x:c>
    </x:row>
    <x:row r="18">
      <x:c r="A18" s="75" t="str">
        <x:v>Incident Handling</x:v>
      </x:c>
      <x:c r="B18" s="76" t="str">
        <x:v>Escalate material errors, privacy issues and model behavior anomalies.</x:v>
      </x:c>
    </x:row>
    <x:row r="19">
      <x:c r="A19" s="75" t="str">
        <x:v>Third-Party Dependencies</x:v>
      </x:c>
      <x:c r="B19" s="76" t="str">
        <x:v>AI/ML platform and recruitment providers may process inputs.</x:v>
      </x:c>
    </x:row>
    <x:row r="20">
      <x:c r="A20" s="77" t="str">
        <x:v>Regulatory Screening</x:v>
      </x:c>
      <x:c r="B20" s="78" t="str">
        <x:v>Potential EU AI Act high-risk use case; applicability must be reviewed before EU deployment.</x:v>
      </x:c>
    </x:row>
    <x:row r="21">
      <x:c r="A21" t="str">
        <x:v>Approval Status</x:v>
      </x:c>
      <x:c r="B21" t="str">
        <x:v>Conditional — governance gaps open</x:v>
      </x:c>
    </x:row>
    <x:row r="22">
      <x:c r="A22" t="str">
        <x:v>Reassessment Triggers</x:v>
      </x:c>
      <x:c r="B22" t="str">
        <x:v>Material model change, new data source, new geography, incident, performance drift or regulatory change</x:v>
      </x:c>
    </x:row>
  </x:sheetData>
  <x:mergeCells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Executive AI Governance Summary</x:v>
      </x:c>
    </x:row>
    <x:row r="2">
      <x:c r="A2" t="str">
        <x:v>Northstar Cloud Services Pvt. Ltd. | Q3 2026 | Simulated portfolio assessment</x:v>
      </x:c>
    </x:row>
    <x:row r="4">
      <x:c r="A4" s="54" t="str">
        <x:v>Section</x:v>
      </x:c>
      <x:c r="B4" s="55" t="str">
        <x:v>Summary</x:v>
      </x:c>
    </x:row>
    <x:row r="5">
      <x:c r="A5" s="73" t="str">
        <x:v>Objective</x:v>
      </x:c>
      <x:c r="B5" s="74" t="str">
        <x:v>Assess AI governance readiness across inventory, risk, impact assessment, model validation, human oversight, third-party governance and monitoring.</x:v>
      </x:c>
    </x:row>
    <x:row r="6">
      <x:c r="A6" s="75" t="str">
        <x:v>Inventory</x:v>
      </x:c>
      <x:c r="B6" s="76" t="str">
        <x:v>Five fictional AI systems were catalogued across support, security, HR, operations analytics and marketing.</x:v>
      </x:c>
    </x:row>
    <x:row r="7">
      <x:c r="A7" s="75" t="str">
        <x:v>Risk Profile</x:v>
      </x:c>
      <x:c r="B7" s="76" t="str">
        <x:v>Seven AI risks were logged using impact × likelihood; highest simulated risks relate to candidate screening and third-party model handling.</x:v>
      </x:c>
    </x:row>
    <x:row r="8">
      <x:c r="A8" s="75" t="str">
        <x:v>Findings</x:v>
      </x:c>
      <x:c r="B8" s="76" t="str">
        <x:v>Six findings were identified: two High, two Medium and two Low.</x:v>
      </x:c>
    </x:row>
    <x:row r="9">
      <x:c r="A9" s="75" t="str">
        <x:v>Key Gap 1</x:v>
      </x:c>
      <x:c r="B9" s="76" t="str">
        <x:v>Candidate screening requires stronger impact assessment and model-validation evidence before production use.</x:v>
      </x:c>
    </x:row>
    <x:row r="10">
      <x:c r="A10" s="75" t="str">
        <x:v>Key Gap 2</x:v>
      </x:c>
      <x:c r="B10" s="76" t="str">
        <x:v>Human-review evidence for AI-assisted support outputs needs defined retention and sampling.</x:v>
      </x:c>
    </x:row>
    <x:row r="11">
      <x:c r="A11" s="75" t="str">
        <x:v>Key Gap 3</x:v>
      </x:c>
      <x:c r="B11" s="76" t="str">
        <x:v>Third-party AI provider monitoring needs to become ongoing rather than point-in-time.</x:v>
      </x:c>
    </x:row>
    <x:row r="12">
      <x:c r="A12" s="75" t="str">
        <x:v>Regulatory Context</x:v>
      </x:c>
      <x:c r="B12" s="76" t="str">
        <x:v>EU AI Act applicability is assessed by use case. Most provisions apply from 2 August 2026, with some high-risk product rules applying later; applicability is case-specific.</x:v>
      </x:c>
    </x:row>
    <x:row r="13">
      <x:c r="A13" s="77" t="str">
        <x:v>Conclusion</x:v>
      </x:c>
      <x:c r="B13" s="78" t="str">
        <x:v>The simulated program has a governance foundation but requires documented validation, oversight evidence and ongoing monitoring for higher-risk systems.</x:v>
      </x:c>
    </x:row>
    <x:row r="14">
      <x:c r="A14" t="str">
        <x:v>Traceability</x:v>
      </x:c>
      <x:c r="B14" t="str">
        <x:v>AI System → Context → Risk → Control → Evidence → Finding → Remediation → Validation</x:v>
      </x:c>
    </x:row>
  </x:sheetData>
  <x:mergeCells>
    <x:mergeCell ref="A2:B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48" hidden="0" customWidth="1"/>
    <x:col min="4" max="4" width="75" hidden="0" customWidth="1"/>
  </x:cols>
  <x:sheetData>
    <x:row r="1">
      <x:c r="A1" s="4" t="str">
        <x:v>AI Governance Sources</x:v>
      </x:c>
    </x:row>
    <x:row r="2">
      <x:c r="A2" s="54" t="str">
        <x:v>Source</x:v>
      </x:c>
      <x:c r="B2" s="97" t="str">
        <x:v>Publisher</x:v>
      </x:c>
      <x:c r="C2" s="97" t="str">
        <x:v>Use in Portfolio</x:v>
      </x:c>
      <x:c r="D2" s="55" t="str">
        <x:v>URL</x:v>
      </x:c>
    </x:row>
    <x:row r="3">
      <x:c r="A3" s="73" t="str">
        <x:v>NIST AI Risk Management Framework 1.0</x:v>
      </x:c>
      <x:c r="B3" s="108" t="str">
        <x:v>NIST</x:v>
      </x:c>
      <x:c r="C3" s="108" t="str">
        <x:v>Govern / Map / Measure / Manage; AI risk and trustworthiness</x:v>
      </x:c>
      <x:c r="D3" s="74" t="str">
        <x:v>https://www.nist.gov/itl/ai-risk-management-framework</x:v>
      </x:c>
    </x:row>
    <x:row r="4">
      <x:c r="A4" s="75" t="str">
        <x:v>NIST AI RMF Generative AI Profile</x:v>
      </x:c>
      <x:c r="B4" s="109" t="str">
        <x:v>NIST</x:v>
      </x:c>
      <x:c r="C4" s="109" t="str">
        <x:v>Generative-AI-specific risk considerations</x:v>
      </x:c>
      <x:c r="D4" s="76" t="str">
        <x:v>https://www.nist.gov/publications/artificial-intelligence-risk-management-framework-generative-artificial-intelligence-profile</x:v>
      </x:c>
    </x:row>
    <x:row r="5">
      <x:c r="A5" s="75" t="str">
        <x:v>ISO/IEC 42001:2023</x:v>
      </x:c>
      <x:c r="B5" s="109" t="str">
        <x:v>ISO</x:v>
      </x:c>
      <x:c r="C5" s="109" t="str">
        <x:v>AI management system governance concepts</x:v>
      </x:c>
      <x:c r="D5" s="76" t="str">
        <x:v>https://www.iso.org/standard/42001</x:v>
      </x:c>
    </x:row>
    <x:row r="6">
      <x:c r="A6" s="75" t="str">
        <x:v>EU AI Act — Regulation (EU) 2024/1689</x:v>
      </x:c>
      <x:c r="B6" s="109" t="str">
        <x:v>EU / EUR-Lex</x:v>
      </x:c>
      <x:c r="C6" s="109" t="str">
        <x:v>Risk-based regulatory screening and applicability dates</x:v>
      </x:c>
      <x:c r="D6" s="76" t="str">
        <x:v>https://eur-lex.europa.eu/eli/reg/2024/1689/oj</x:v>
      </x:c>
    </x:row>
    <x:row r="7">
      <x:c r="A7" s="75" t="str">
        <x:v>NIST AI Resource Center</x:v>
      </x:c>
      <x:c r="B7" s="109" t="str">
        <x:v>NIST</x:v>
      </x:c>
      <x:c r="C7" s="109" t="str">
        <x:v>Operationalization resources and AI RMF materials</x:v>
      </x:c>
      <x:c r="D7" s="76" t="str">
        <x:v>https://airc.nist.gov/</x:v>
      </x:c>
    </x:row>
    <x:row r="8">
      <x:c r="A8" s="77" t="str">
        <x:v>Portfolio limitation</x:v>
      </x:c>
      <x:c r="B8" s="110" t="str">
        <x:v>—</x:v>
      </x:c>
      <x:c r="C8" s="110" t="str">
        <x:v>All systems, evidence and findings are fictional. No legal or certification conclusion is provided.</x:v>
      </x:c>
      <x:c r="D8" s="78" t="str"/>
    </x:row>
  </x:sheetData>
  <x:pageMargins left="0.7" right="0.7" top="0.75" bottom="0.75" header="0.3" footer="0.3"/>
</x:worksheet>
</file>